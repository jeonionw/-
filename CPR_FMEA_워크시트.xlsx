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프로세스" sheetId="2" state="visible" r:id="rId2"/>
    <sheet name="FMEA_일반" sheetId="3" state="visible" r:id="rId3"/>
    <sheet name="FMEA_교육자격" sheetId="4" state="visible" r:id="rId4"/>
    <sheet name="FMEA_모의훈련" sheetId="5" state="visible" r:id="rId5"/>
    <sheet name="요약" sheetId="6" state="visible" r:id="rId6"/>
    <sheet name="척도" sheetId="7" state="visible" r:id="rId7"/>
  </sheets>
  <definedNames>
    <definedName name="_xlnm._FilterDatabase" localSheetId="2" hidden="1">'FMEA_일반'!$A$4:$Q$63</definedName>
    <definedName name="_xlnm._FilterDatabase" localSheetId="3" hidden="1">'FMEA_교육자격'!$A$4:$Q$21</definedName>
    <definedName name="_xlnm._FilterDatabase" localSheetId="4" hidden="1">'FMEA_모의훈련'!$A$4:$Q$22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2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sz val="10"/>
    </font>
    <font>
      <name val="Arial"/>
      <b val="1"/>
      <sz val="1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C00000"/>
      </font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1,000병상 급성기병원 심폐소생술(CPR) 프로세스 FMEA 워크시트</t>
        </is>
      </c>
    </row>
    <row r="3">
      <c r="A3" s="2" t="inlineStr">
        <is>
          <t>■ 시트 구성</t>
        </is>
      </c>
    </row>
    <row r="4">
      <c r="A4" s="3" t="inlineStr">
        <is>
          <t xml:space="preserve">  · 프로세스: Process/Subprocess 개요 (9개 Process)</t>
        </is>
      </c>
    </row>
    <row r="5">
      <c r="A5" s="3" t="inlineStr">
        <is>
          <t xml:space="preserve">  · FMEA_일반: 프로세스 1~8 및 9.3 (예방·인지·호출·BLS·ACLS·장비·소통·소생 후 치료·사후 검토)</t>
        </is>
      </c>
    </row>
    <row r="6">
      <c r="A6" s="3" t="inlineStr">
        <is>
          <t xml:space="preserve">  · FMEA_교육자격: 9.1 교육·자격을 8단계로 세분화한 강화 분석</t>
        </is>
      </c>
    </row>
    <row r="7">
      <c r="A7" s="3" t="inlineStr">
        <is>
          <t xml:space="preserve">  · FMEA_모의훈련: 9.2 모의훈련을 8단계로 세분화한 강화 분석</t>
        </is>
      </c>
    </row>
    <row r="8">
      <c r="A8" s="3" t="inlineStr">
        <is>
          <t xml:space="preserve">  · 척도: S/O/D 평가 기준과 우선순위 임계값(수정 가능)</t>
        </is>
      </c>
    </row>
    <row r="9">
      <c r="A9" s="3" t="inlineStr">
        <is>
          <t xml:space="preserve">  · 요약: 건수·평균 RPN·우선순위 집계(자동 계산)</t>
        </is>
      </c>
    </row>
    <row r="10">
      <c r="A10" s="3" t="inlineStr"/>
    </row>
    <row r="11">
      <c r="A11" s="2" t="inlineStr">
        <is>
          <t>■ 사용 방법</t>
        </is>
      </c>
    </row>
    <row r="12">
      <c r="A12" s="3" t="inlineStr">
        <is>
          <t xml:space="preserve">  1. 각 FMEA 시트의 노란 칸(S/O/D, 권고 조치, 담당, 목표일, 비고)을 입력·수정합니다. 파란색 글자는 입력값입니다.</t>
        </is>
      </c>
    </row>
    <row r="13">
      <c r="A13" s="3" t="inlineStr">
        <is>
          <t xml:space="preserve">  2. RPN(=S×O×D)과 우선순위(높음/중간/낮음)는 자동 계산되며, 임계값은 '척도' 시트에서 바꿀 수 있습니다.</t>
        </is>
      </c>
    </row>
    <row r="14">
      <c r="A14" s="3" t="inlineStr">
        <is>
          <t xml:space="preserve">  3. 헤더의 필터를 이용해 우선순위·Process별로 정렬/필터링합니다.</t>
        </is>
      </c>
    </row>
    <row r="15">
      <c r="A15" s="3" t="inlineStr">
        <is>
          <t xml:space="preserve">  4. 행을 추가할 때는 마지막 행을 복사해 삽입하세요. (요약 시트 범위가 행 끝까지로 고정되어 있으므로 표 중간에 삽입하는 것을 권장)</t>
        </is>
      </c>
    </row>
    <row r="16">
      <c r="A16" s="3" t="inlineStr"/>
    </row>
    <row r="17">
      <c r="A17" s="2" t="inlineStr">
        <is>
          <t>■ 작성 시 가정(필독)</t>
        </is>
      </c>
    </row>
    <row r="18">
      <c r="A18" s="3" t="inlineStr">
        <is>
          <t xml:space="preserve">  · 잠재적 영향·현재 관리 방법·S/O/D 점수는 일반적인 급성기병원 상황을 가정한 '초안'이며, 실제 병원의 데이터가 아닙니다.</t>
        </is>
      </c>
    </row>
    <row r="19">
      <c r="A19" s="3" t="inlineStr">
        <is>
          <t xml:space="preserve">  · 실제 적용 시 자체 사건보고·Code Blue 지표·감사 결과로 팀 합의하에 재평가해야 합니다.</t>
        </is>
      </c>
    </row>
    <row r="20">
      <c r="A20" s="3" t="inlineStr">
        <is>
          <t xml:space="preserve">  · 점수 구간·임계값(RPN 300/200, S≥10)은 일반 관행을 참고한 초안입니다.</t>
        </is>
      </c>
    </row>
    <row r="21">
      <c r="A21" s="3" t="inlineStr"/>
    </row>
    <row r="22">
      <c r="A22" s="2" t="inlineStr">
        <is>
          <t>■ 권장 FMEA 팀</t>
        </is>
      </c>
    </row>
    <row r="23">
      <c r="A23" s="3" t="inlineStr">
        <is>
          <t xml:space="preserve">  심정지 소생 담당 의사, 응급·중환자실·병동 간호사, 약제부, 의공(의료장비), 환자안전·QI, 교육·인사, 시설·전산 담당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0" customWidth="1" min="3" max="3"/>
    <col width="36" customWidth="1" min="4" max="4"/>
  </cols>
  <sheetData>
    <row r="1">
      <c r="A1" s="4" t="inlineStr">
        <is>
          <t>CPR 프로세스 / Subprocess 개요 (1,000병상 급성기병원)</t>
        </is>
      </c>
    </row>
    <row r="3">
      <c r="A3" s="5" t="inlineStr">
        <is>
          <t>No.</t>
        </is>
      </c>
      <c r="B3" s="5" t="inlineStr">
        <is>
          <t>Process</t>
        </is>
      </c>
      <c r="C3" s="5" t="inlineStr">
        <is>
          <t>Subprocess</t>
        </is>
      </c>
      <c r="D3" s="5" t="inlineStr">
        <is>
          <t>수록 시트</t>
        </is>
      </c>
    </row>
    <row r="4">
      <c r="A4" s="6" t="n">
        <v>1</v>
      </c>
      <c r="B4" s="6" t="inlineStr">
        <is>
          <t>심정지 예방·조기경고</t>
        </is>
      </c>
      <c r="C4" s="6" t="inlineStr">
        <is>
          <t>1.1 환자 상태 감시 / 1.2 악화 징후 인지·보고 / 1.3 RRT 호출 / 1.4 DNR·치료한계 확인</t>
        </is>
      </c>
      <c r="D4" s="6" t="inlineStr">
        <is>
          <t>FMEA_일반</t>
        </is>
      </c>
    </row>
    <row r="5">
      <c r="A5" s="6" t="n">
        <v>2</v>
      </c>
      <c r="B5" s="6" t="inlineStr">
        <is>
          <t>심정지 인지</t>
        </is>
      </c>
      <c r="C5" s="6" t="inlineStr">
        <is>
          <t>2.1 무반응·무호흡·무맥박 확인 / 2.2 모니터 알람 대응</t>
        </is>
      </c>
      <c r="D5" s="6" t="inlineStr">
        <is>
          <t>FMEA_일반</t>
        </is>
      </c>
    </row>
    <row r="6">
      <c r="A6" s="6" t="n">
        <v>3</v>
      </c>
      <c r="B6" s="6" t="inlineStr">
        <is>
          <t>코드 호출·전파</t>
        </is>
      </c>
      <c r="C6" s="6" t="inlineStr">
        <is>
          <t>3.1 Code Blue 발령 / 3.2 전파 / 3.3 위치 정보 전달</t>
        </is>
      </c>
      <c r="D6" s="6" t="inlineStr">
        <is>
          <t>FMEA_일반</t>
        </is>
      </c>
    </row>
    <row r="7">
      <c r="A7" s="6" t="n">
        <v>4</v>
      </c>
      <c r="B7" s="6" t="inlineStr">
        <is>
          <t>초기 소생술(BLS)</t>
        </is>
      </c>
      <c r="C7" s="6" t="inlineStr">
        <is>
          <t>4.1 가슴압박 / 4.2 기도·환기 / 4.3 AED·제세동기 적용</t>
        </is>
      </c>
      <c r="D7" s="6" t="inlineStr">
        <is>
          <t>FMEA_일반</t>
        </is>
      </c>
    </row>
    <row r="8">
      <c r="A8" s="6" t="n">
        <v>5</v>
      </c>
      <c r="B8" s="6" t="inlineStr">
        <is>
          <t>전문소생술(ACLS)</t>
        </is>
      </c>
      <c r="C8" s="6" t="inlineStr">
        <is>
          <t>5.1 팀 구성 / 5.2 리듬 분석·제세동 / 5.3 혈관로 확보 / 5.4 약물 투여 / 5.5 전문기도 / 5.6 원인(H&amp;T) 감별</t>
        </is>
      </c>
      <c r="D8" s="6" t="inlineStr">
        <is>
          <t>FMEA_일반</t>
        </is>
      </c>
    </row>
    <row r="9">
      <c r="A9" s="6" t="n">
        <v>6</v>
      </c>
      <c r="B9" s="6" t="inlineStr">
        <is>
          <t>장비·약품 관리</t>
        </is>
      </c>
      <c r="C9" s="6" t="inlineStr">
        <is>
          <t>6.1 응급카트 / 6.2 제세동기·흡인기·산소 / 6.3 접근성</t>
        </is>
      </c>
      <c r="D9" s="6" t="inlineStr">
        <is>
          <t>FMEA_일반</t>
        </is>
      </c>
    </row>
    <row r="10">
      <c r="A10" s="6" t="n">
        <v>7</v>
      </c>
      <c r="B10" s="6" t="inlineStr">
        <is>
          <t>의사소통·기록</t>
        </is>
      </c>
      <c r="C10" s="6" t="inlineStr">
        <is>
          <t>7.1 팀 의사소통 / 7.2 기록 / 7.3 보호자 소통</t>
        </is>
      </c>
      <c r="D10" s="6" t="inlineStr">
        <is>
          <t>FMEA_일반</t>
        </is>
      </c>
    </row>
    <row r="11">
      <c r="A11" s="6" t="n">
        <v>8</v>
      </c>
      <c r="B11" s="6" t="inlineStr">
        <is>
          <t>소생 후 치료·이송</t>
        </is>
      </c>
      <c r="C11" s="6" t="inlineStr">
        <is>
          <t>8.1 ROSC 후 안정화 / 8.2 TTM / 8.3 이송 / 8.4 소생 중단 판단</t>
        </is>
      </c>
      <c r="D11" s="6" t="inlineStr">
        <is>
          <t>FMEA_일반</t>
        </is>
      </c>
    </row>
    <row r="12">
      <c r="A12" s="6" t="n">
        <v>9</v>
      </c>
      <c r="B12" s="7" t="inlineStr">
        <is>
          <t>교육·훈련·질 관리 ★강화</t>
        </is>
      </c>
      <c r="C12" s="6" t="inlineStr">
        <is>
          <t>9.1 교육·자격(8단계) / 9.2 모의훈련(8단계) / 9.3 사후검토·데이터 환류</t>
        </is>
      </c>
      <c r="D12" s="6" t="inlineStr">
        <is>
          <t>FMEA_교육자격, FMEA_모의훈련, FMEA_일반(9.3)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30" customWidth="1" min="5" max="5"/>
    <col width="30" customWidth="1" min="6" max="6"/>
    <col width="40" customWidth="1" min="7" max="7"/>
    <col width="30" customWidth="1" min="8" max="8"/>
    <col width="5" customWidth="1" min="9" max="9"/>
    <col width="5" customWidth="1" min="10" max="10"/>
    <col width="5" customWidth="1" min="11" max="11"/>
    <col width="7" customWidth="1" min="12" max="12"/>
    <col width="9" customWidth="1" min="13" max="13"/>
    <col width="38" customWidth="1" min="14" max="14"/>
    <col width="10" customWidth="1" min="15" max="15"/>
    <col width="11" customWidth="1" min="16" max="16"/>
    <col width="14" customWidth="1" min="17" max="17"/>
  </cols>
  <sheetData>
    <row r="1">
      <c r="A1" s="4" t="inlineStr">
        <is>
          <t>CPR FMEA 워크시트 – 프로세스 1~8, 9.3</t>
        </is>
      </c>
    </row>
    <row r="2">
      <c r="A2" s="8" t="inlineStr">
        <is>
          <t>※ S/O/D(파란색 글자·노란 칸)는 일반적 병원 현황을 가정한 '초안 점수'입니다. 반드시 FMEA 팀 합의와 자체 데이터(지표·사건보고)로 재평가하십시오. RPN·우선순위는 자동 계산됩니다.</t>
        </is>
      </c>
    </row>
    <row r="4" ht="30" customHeight="1">
      <c r="A4" s="5" t="inlineStr">
        <is>
          <t>ID</t>
        </is>
      </c>
      <c r="B4" s="5" t="inlineStr">
        <is>
          <t>Process</t>
        </is>
      </c>
      <c r="C4" s="5" t="inlineStr">
        <is>
          <t>Subprocess</t>
        </is>
      </c>
      <c r="D4" s="5" t="inlineStr">
        <is>
          <t>세부 단계</t>
        </is>
      </c>
      <c r="E4" s="5" t="inlineStr">
        <is>
          <t>잠재적 고장 유형</t>
        </is>
      </c>
      <c r="F4" s="5" t="inlineStr">
        <is>
          <t>잠재적 영향</t>
        </is>
      </c>
      <c r="G4" s="5" t="inlineStr">
        <is>
          <t>잠재적 원인</t>
        </is>
      </c>
      <c r="H4" s="5" t="inlineStr">
        <is>
          <t>현재 관리 방법</t>
        </is>
      </c>
      <c r="I4" s="5" t="inlineStr">
        <is>
          <t>S</t>
        </is>
      </c>
      <c r="J4" s="5" t="inlineStr">
        <is>
          <t>O</t>
        </is>
      </c>
      <c r="K4" s="5" t="inlineStr">
        <is>
          <t>D</t>
        </is>
      </c>
      <c r="L4" s="5" t="inlineStr">
        <is>
          <t>RPN</t>
        </is>
      </c>
      <c r="M4" s="5" t="inlineStr">
        <is>
          <t>우선순위</t>
        </is>
      </c>
      <c r="N4" s="5" t="inlineStr">
        <is>
          <t>권고 조치</t>
        </is>
      </c>
      <c r="O4" s="5" t="inlineStr">
        <is>
          <t>담당</t>
        </is>
      </c>
      <c r="P4" s="5" t="inlineStr">
        <is>
          <t>목표일</t>
        </is>
      </c>
      <c r="Q4" s="5" t="inlineStr">
        <is>
          <t>상태/비고</t>
        </is>
      </c>
    </row>
    <row r="5">
      <c r="A5" s="9" t="inlineStr">
        <is>
          <t>1.1.1</t>
        </is>
      </c>
      <c r="B5" s="6" t="inlineStr">
        <is>
          <t>1 심정지 예방·조기경고</t>
        </is>
      </c>
      <c r="C5" s="6" t="inlineStr">
        <is>
          <t>1.1 환자 상태 감시</t>
        </is>
      </c>
      <c r="D5" s="6" t="inlineStr">
        <is>
          <t>활력징후 측정</t>
        </is>
      </c>
      <c r="E5" s="6" t="inlineStr">
        <is>
          <t>측정 누락·지연</t>
        </is>
      </c>
      <c r="F5" s="6" t="inlineStr">
        <is>
          <t>악화 조기 발견 실패 → 예방 가능한 심정지</t>
        </is>
      </c>
      <c r="G5" s="6" t="inlineStr">
        <is>
          <t>간호 인력 부족, 야간·주말 인력 감소, 측정 주기 기준 불명확</t>
        </is>
      </c>
      <c r="H5" s="6" t="inlineStr">
        <is>
          <t>병동별 측정 주기 규정</t>
        </is>
      </c>
      <c r="I5" s="10" t="n">
        <v>8</v>
      </c>
      <c r="J5" s="10" t="n">
        <v>5</v>
      </c>
      <c r="K5" s="10" t="n">
        <v>5</v>
      </c>
      <c r="L5" s="11">
        <f>I5*J5*K5</f>
        <v>200</v>
      </c>
      <c r="M5" s="11" t="str">
        <f>IF(OR(L5&gt;=척도!$B$17,AND(I5&gt;=척도!$B$19,L5&gt;=척도!$B$18)),"높음",IF(L5&gt;=척도!$B$18,"중간","낮음"))</f>
        <v>중간</v>
      </c>
      <c r="N5" s="12" t="inlineStr">
        <is>
          <t>전산 측정 알림·누락 대시보드 도입</t>
        </is>
      </c>
      <c r="O5" s="13" t="inlineStr"/>
      <c r="P5" s="13" t="inlineStr"/>
      <c r="Q5" s="12" t="inlineStr"/>
    </row>
    <row r="6">
      <c r="A6" s="9" t="inlineStr">
        <is>
          <t>1.1.2</t>
        </is>
      </c>
      <c r="B6" s="6" t="inlineStr">
        <is>
          <t>1 심정지 예방·조기경고</t>
        </is>
      </c>
      <c r="C6" s="6" t="inlineStr">
        <is>
          <t>1.1 환자 상태 감시</t>
        </is>
      </c>
      <c r="D6" s="6" t="inlineStr">
        <is>
          <t>모니터링 적용</t>
        </is>
      </c>
      <c r="E6" s="6" t="inlineStr">
        <is>
          <t>고위험 환자 텔레메트리 미적용</t>
        </is>
      </c>
      <c r="F6" s="6" t="inlineStr">
        <is>
          <t>심정지 인지 지연</t>
        </is>
      </c>
      <c r="G6" s="6" t="inlineStr">
        <is>
          <t>텔레메트리 장비 부족, 적용 기준 부재</t>
        </is>
      </c>
      <c r="H6" s="6" t="inlineStr">
        <is>
          <t>의사 판단에 의존</t>
        </is>
      </c>
      <c r="I6" s="10" t="n">
        <v>8</v>
      </c>
      <c r="J6" s="10" t="n">
        <v>5</v>
      </c>
      <c r="K6" s="10" t="n">
        <v>6</v>
      </c>
      <c r="L6" s="11">
        <f>I6*J6*K6</f>
        <v>240</v>
      </c>
      <c r="M6" s="11" t="str">
        <f>IF(OR(L6&gt;=척도!$B$17,AND(I6&gt;=척도!$B$19,L6&gt;=척도!$B$18)),"높음",IF(L6&gt;=척도!$B$18,"중간","낮음"))</f>
        <v>중간</v>
      </c>
      <c r="N6" s="12" t="inlineStr">
        <is>
          <t>적용 기준(진단·수술 후)과 장비 배분 표준화</t>
        </is>
      </c>
      <c r="O6" s="13" t="inlineStr"/>
      <c r="P6" s="13" t="inlineStr"/>
      <c r="Q6" s="12" t="inlineStr"/>
    </row>
    <row r="7">
      <c r="A7" s="9" t="inlineStr">
        <is>
          <t>1.2.1</t>
        </is>
      </c>
      <c r="B7" s="6" t="inlineStr">
        <is>
          <t>1 심정지 예방·조기경고</t>
        </is>
      </c>
      <c r="C7" s="6" t="inlineStr">
        <is>
          <t>1.2 악화 징후 인지·보고</t>
        </is>
      </c>
      <c r="D7" s="6" t="inlineStr">
        <is>
          <t>조기경고점수(NEWS 등) 산정</t>
        </is>
      </c>
      <c r="E7" s="6" t="inlineStr">
        <is>
          <t>점수 미산정·계산 오류</t>
        </is>
      </c>
      <c r="F7" s="6" t="inlineStr">
        <is>
          <t>RRT 호출 기준 놓침</t>
        </is>
      </c>
      <c r="G7" s="6" t="inlineStr">
        <is>
          <t>수기 계산, 전산 자동산정 미구축, 교육 부족</t>
        </is>
      </c>
      <c r="H7" s="6" t="inlineStr">
        <is>
          <t>일부 병동 수기 기록</t>
        </is>
      </c>
      <c r="I7" s="10" t="n">
        <v>8</v>
      </c>
      <c r="J7" s="10" t="n">
        <v>6</v>
      </c>
      <c r="K7" s="10" t="n">
        <v>6</v>
      </c>
      <c r="L7" s="11">
        <f>I7*J7*K7</f>
        <v>288</v>
      </c>
      <c r="M7" s="11" t="str">
        <f>IF(OR(L7&gt;=척도!$B$17,AND(I7&gt;=척도!$B$19,L7&gt;=척도!$B$18)),"높음",IF(L7&gt;=척도!$B$18,"중간","낮음"))</f>
        <v>중간</v>
      </c>
      <c r="N7" s="12" t="inlineStr">
        <is>
          <t>EMR 자동 산정·자동 알림</t>
        </is>
      </c>
      <c r="O7" s="13" t="inlineStr"/>
      <c r="P7" s="13" t="inlineStr"/>
      <c r="Q7" s="12" t="inlineStr"/>
    </row>
    <row r="8">
      <c r="A8" s="9" t="inlineStr">
        <is>
          <t>1.2.2</t>
        </is>
      </c>
      <c r="B8" s="6" t="inlineStr">
        <is>
          <t>1 심정지 예방·조기경고</t>
        </is>
      </c>
      <c r="C8" s="6" t="inlineStr">
        <is>
          <t>1.2 악화 징후 인지·보고</t>
        </is>
      </c>
      <c r="D8" s="6" t="inlineStr">
        <is>
          <t>보고</t>
        </is>
      </c>
      <c r="E8" s="6" t="inlineStr">
        <is>
          <t>이상 징후를 인지하고도 보고 안 함</t>
        </is>
      </c>
      <c r="F8" s="6" t="inlineStr">
        <is>
          <t>치료 지연</t>
        </is>
      </c>
      <c r="G8" s="6" t="inlineStr">
        <is>
          <t>위계 문화, 의사 호출 부담, 경보 피로</t>
        </is>
      </c>
      <c r="H8" s="6" t="inlineStr">
        <is>
          <t>SBAR 교육</t>
        </is>
      </c>
      <c r="I8" s="10" t="n">
        <v>8</v>
      </c>
      <c r="J8" s="10" t="n">
        <v>5</v>
      </c>
      <c r="K8" s="10" t="n">
        <v>7</v>
      </c>
      <c r="L8" s="11">
        <f>I8*J8*K8</f>
        <v>280</v>
      </c>
      <c r="M8" s="11" t="str">
        <f>IF(OR(L8&gt;=척도!$B$17,AND(I8&gt;=척도!$B$19,L8&gt;=척도!$B$18)),"높음",IF(L8&gt;=척도!$B$18,"중간","낮음"))</f>
        <v>중간</v>
      </c>
      <c r="N8" s="12" t="inlineStr">
        <is>
          <t>비난 없는 호출 문화, 에스컬레이션 규칙 명문화</t>
        </is>
      </c>
      <c r="O8" s="13" t="inlineStr"/>
      <c r="P8" s="13" t="inlineStr"/>
      <c r="Q8" s="12" t="inlineStr"/>
    </row>
    <row r="9">
      <c r="A9" s="9" t="inlineStr">
        <is>
          <t>1.3.1</t>
        </is>
      </c>
      <c r="B9" s="6" t="inlineStr">
        <is>
          <t>1 심정지 예방·조기경고</t>
        </is>
      </c>
      <c r="C9" s="6" t="inlineStr">
        <is>
          <t>1.3 RRT 호출</t>
        </is>
      </c>
      <c r="D9" s="6" t="inlineStr">
        <is>
          <t>RRT 호출</t>
        </is>
      </c>
      <c r="E9" s="6" t="inlineStr">
        <is>
          <t>호출 지연·미호출</t>
        </is>
      </c>
      <c r="F9" s="6" t="inlineStr">
        <is>
          <t>병동 내 심정지 진행</t>
        </is>
      </c>
      <c r="G9" s="6" t="inlineStr">
        <is>
          <t>호출 기준 모호, 절차 복잡, 호출 시 책임 우려</t>
        </is>
      </c>
      <c r="H9" s="6" t="inlineStr">
        <is>
          <t>RRT 운영 규정</t>
        </is>
      </c>
      <c r="I9" s="10" t="n">
        <v>8</v>
      </c>
      <c r="J9" s="10" t="n">
        <v>6</v>
      </c>
      <c r="K9" s="10" t="n">
        <v>5</v>
      </c>
      <c r="L9" s="11">
        <f>I9*J9*K9</f>
        <v>240</v>
      </c>
      <c r="M9" s="11" t="str">
        <f>IF(OR(L9&gt;=척도!$B$17,AND(I9&gt;=척도!$B$19,L9&gt;=척도!$B$18)),"높음",IF(L9&gt;=척도!$B$18,"중간","낮음"))</f>
        <v>중간</v>
      </c>
      <c r="N9" s="12" t="inlineStr">
        <is>
          <t>단일 번호·자동 호출 기준(NEWS≥기준) 설정</t>
        </is>
      </c>
      <c r="O9" s="13" t="inlineStr"/>
      <c r="P9" s="13" t="inlineStr"/>
      <c r="Q9" s="12" t="inlineStr"/>
    </row>
    <row r="10">
      <c r="A10" s="9" t="inlineStr">
        <is>
          <t>1.4.1</t>
        </is>
      </c>
      <c r="B10" s="6" t="inlineStr">
        <is>
          <t>1 심정지 예방·조기경고</t>
        </is>
      </c>
      <c r="C10" s="6" t="inlineStr">
        <is>
          <t>1.4 DNR·치료한계 확인</t>
        </is>
      </c>
      <c r="D10" s="6" t="inlineStr">
        <is>
          <t>DNR 상태 확인</t>
        </is>
      </c>
      <c r="E10" s="6" t="inlineStr">
        <is>
          <t>DNR 환자에게 CPR 시행 / 비DNR 환자에게 미시행</t>
        </is>
      </c>
      <c r="F10" s="6" t="inlineStr">
        <is>
          <t>윤리·법적 문제, 환자 의사 위반</t>
        </is>
      </c>
      <c r="G10" s="6" t="inlineStr">
        <is>
          <t>의무기록·팔찌·전산 표시 불일치, 인수인계 누락</t>
        </is>
      </c>
      <c r="H10" s="6" t="inlineStr">
        <is>
          <t>DNR 서식, 전산 표시</t>
        </is>
      </c>
      <c r="I10" s="10" t="n">
        <v>9</v>
      </c>
      <c r="J10" s="10" t="n">
        <v>4</v>
      </c>
      <c r="K10" s="10" t="n">
        <v>5</v>
      </c>
      <c r="L10" s="11">
        <f>I10*J10*K10</f>
        <v>180</v>
      </c>
      <c r="M10" s="11" t="str">
        <f>IF(OR(L10&gt;=척도!$B$17,AND(I10&gt;=척도!$B$19,L10&gt;=척도!$B$18)),"높음",IF(L10&gt;=척도!$B$18,"중간","낮음"))</f>
        <v>낮음</v>
      </c>
      <c r="N10" s="12" t="inlineStr">
        <is>
          <t>전산·팔찌·병상 표지 일원화, 근무 교대 시 확인 항목화</t>
        </is>
      </c>
      <c r="O10" s="13" t="inlineStr"/>
      <c r="P10" s="13" t="inlineStr"/>
      <c r="Q10" s="12" t="inlineStr"/>
    </row>
    <row r="11">
      <c r="A11" s="9" t="inlineStr">
        <is>
          <t>2.1.1</t>
        </is>
      </c>
      <c r="B11" s="6" t="inlineStr">
        <is>
          <t>2 심정지 인지</t>
        </is>
      </c>
      <c r="C11" s="6" t="inlineStr">
        <is>
          <t>2.1 무반응·무호흡·무맥박 확인</t>
        </is>
      </c>
      <c r="D11" s="6" t="inlineStr">
        <is>
          <t>상태 확인</t>
        </is>
      </c>
      <c r="E11" s="6" t="inlineStr">
        <is>
          <t>인지 지연</t>
        </is>
      </c>
      <c r="F11" s="6" t="inlineStr">
        <is>
          <t>가슴압박 시작 지연</t>
        </is>
      </c>
      <c r="G11" s="6" t="inlineStr">
        <is>
          <t>순회 간격 길음, 1인 근무, 확인 교육 미흡</t>
        </is>
      </c>
      <c r="H11" s="6" t="inlineStr">
        <is>
          <t>BLS 교육</t>
        </is>
      </c>
      <c r="I11" s="10" t="n">
        <v>10</v>
      </c>
      <c r="J11" s="10" t="n">
        <v>5</v>
      </c>
      <c r="K11" s="10" t="n">
        <v>6</v>
      </c>
      <c r="L11" s="11">
        <f>I11*J11*K11</f>
        <v>300</v>
      </c>
      <c r="M11" s="11" t="str">
        <f>IF(OR(L11&gt;=척도!$B$17,AND(I11&gt;=척도!$B$19,L11&gt;=척도!$B$18)),"높음",IF(L11&gt;=척도!$B$18,"중간","낮음"))</f>
        <v>높음</v>
      </c>
      <c r="N11" s="12" t="inlineStr">
        <is>
          <t>고위험 환자 순회 주기 강화, 호흡 확인 교육 강화</t>
        </is>
      </c>
      <c r="O11" s="13" t="inlineStr"/>
      <c r="P11" s="13" t="inlineStr"/>
      <c r="Q11" s="12" t="inlineStr"/>
    </row>
    <row r="12">
      <c r="A12" s="9" t="inlineStr">
        <is>
          <t>2.1.2</t>
        </is>
      </c>
      <c r="B12" s="6" t="inlineStr">
        <is>
          <t>2 심정지 인지</t>
        </is>
      </c>
      <c r="C12" s="6" t="inlineStr">
        <is>
          <t>2.1 무반응·무호흡·무맥박 확인</t>
        </is>
      </c>
      <c r="D12" s="6" t="inlineStr">
        <is>
          <t>호흡 양상 판단</t>
        </is>
      </c>
      <c r="E12" s="6" t="inlineStr">
        <is>
          <t>비정상 호흡(agonal)을 정상으로 오판</t>
        </is>
      </c>
      <c r="F12" s="6" t="inlineStr">
        <is>
          <t>가슴압박 시작 지연</t>
        </is>
      </c>
      <c r="G12" s="6" t="inlineStr">
        <is>
          <t>구분 기준 교육 부족, 맥박 확인에 10초 이상 소요</t>
        </is>
      </c>
      <c r="H12" s="6" t="inlineStr">
        <is>
          <t>BLS 교육</t>
        </is>
      </c>
      <c r="I12" s="10" t="n">
        <v>9</v>
      </c>
      <c r="J12" s="10" t="n">
        <v>5</v>
      </c>
      <c r="K12" s="10" t="n">
        <v>6</v>
      </c>
      <c r="L12" s="11">
        <f>I12*J12*K12</f>
        <v>270</v>
      </c>
      <c r="M12" s="11" t="str">
        <f>IF(OR(L12&gt;=척도!$B$17,AND(I12&gt;=척도!$B$19,L12&gt;=척도!$B$18)),"높음",IF(L12&gt;=척도!$B$18,"중간","낮음"))</f>
        <v>중간</v>
      </c>
      <c r="N12" s="12" t="inlineStr">
        <is>
          <t>시뮬레이션에 agonal breathing 시나리오 포함</t>
        </is>
      </c>
      <c r="O12" s="13" t="inlineStr"/>
      <c r="P12" s="13" t="inlineStr"/>
      <c r="Q12" s="12" t="inlineStr"/>
    </row>
    <row r="13">
      <c r="A13" s="9" t="inlineStr">
        <is>
          <t>2.2.1</t>
        </is>
      </c>
      <c r="B13" s="6" t="inlineStr">
        <is>
          <t>2 심정지 인지</t>
        </is>
      </c>
      <c r="C13" s="6" t="inlineStr">
        <is>
          <t>2.2 모니터 알람 대응</t>
        </is>
      </c>
      <c r="D13" s="6" t="inlineStr">
        <is>
          <t>알람 대응</t>
        </is>
      </c>
      <c r="E13" s="6" t="inlineStr">
        <is>
          <t>알람 무시·지연 대응</t>
        </is>
      </c>
      <c r="F13" s="6" t="inlineStr">
        <is>
          <t>심정지 인지 지연</t>
        </is>
      </c>
      <c r="G13" s="6" t="inlineStr">
        <is>
          <t>경보 피로, 중앙모니터 감시 인력 부재</t>
        </is>
      </c>
      <c r="H13" s="6" t="inlineStr">
        <is>
          <t>알람 설정 표준</t>
        </is>
      </c>
      <c r="I13" s="10" t="n">
        <v>9</v>
      </c>
      <c r="J13" s="10" t="n">
        <v>6</v>
      </c>
      <c r="K13" s="10" t="n">
        <v>5</v>
      </c>
      <c r="L13" s="11">
        <f>I13*J13*K13</f>
        <v>270</v>
      </c>
      <c r="M13" s="11" t="str">
        <f>IF(OR(L13&gt;=척도!$B$17,AND(I13&gt;=척도!$B$19,L13&gt;=척도!$B$18)),"높음",IF(L13&gt;=척도!$B$18,"중간","낮음"))</f>
        <v>중간</v>
      </c>
      <c r="N13" s="12" t="inlineStr">
        <is>
          <t>알람 한계 최적화, 중앙감시 전담 인력</t>
        </is>
      </c>
      <c r="O13" s="13" t="inlineStr"/>
      <c r="P13" s="13" t="inlineStr"/>
      <c r="Q13" s="12" t="inlineStr"/>
    </row>
    <row r="14">
      <c r="A14" s="9" t="inlineStr">
        <is>
          <t>2.2.2</t>
        </is>
      </c>
      <c r="B14" s="6" t="inlineStr">
        <is>
          <t>2 심정지 인지</t>
        </is>
      </c>
      <c r="C14" s="6" t="inlineStr">
        <is>
          <t>2.2 모니터 알람 대응</t>
        </is>
      </c>
      <c r="D14" s="6" t="inlineStr">
        <is>
          <t>거짓/실제 알람 구분</t>
        </is>
      </c>
      <c r="E14" s="6" t="inlineStr">
        <is>
          <t>전극 불량 등 거짓 알람으로 판단 → 실제 알람 방치</t>
        </is>
      </c>
      <c r="F14" s="6" t="inlineStr">
        <is>
          <t>인지 지연</t>
        </is>
      </c>
      <c r="G14" s="6" t="inlineStr">
        <is>
          <t>전극 부착 불량, 환자 직접 확인 없이 알람 해제</t>
        </is>
      </c>
      <c r="H14" s="6" t="inlineStr">
        <is>
          <t>없음</t>
        </is>
      </c>
      <c r="I14" s="10" t="n">
        <v>9</v>
      </c>
      <c r="J14" s="10" t="n">
        <v>4</v>
      </c>
      <c r="K14" s="10" t="n">
        <v>6</v>
      </c>
      <c r="L14" s="11">
        <f>I14*J14*K14</f>
        <v>216</v>
      </c>
      <c r="M14" s="11" t="str">
        <f>IF(OR(L14&gt;=척도!$B$17,AND(I14&gt;=척도!$B$19,L14&gt;=척도!$B$18)),"높음",IF(L14&gt;=척도!$B$18,"중간","낮음"))</f>
        <v>중간</v>
      </c>
      <c r="N14" s="12" t="inlineStr">
        <is>
          <t>알람 시 환자 직접 확인 원칙 교육</t>
        </is>
      </c>
      <c r="O14" s="13" t="inlineStr"/>
      <c r="P14" s="13" t="inlineStr"/>
      <c r="Q14" s="12" t="inlineStr"/>
    </row>
    <row r="15">
      <c r="A15" s="9" t="inlineStr">
        <is>
          <t>3.1.1</t>
        </is>
      </c>
      <c r="B15" s="6" t="inlineStr">
        <is>
          <t>3 코드 호출·전파</t>
        </is>
      </c>
      <c r="C15" s="6" t="inlineStr">
        <is>
          <t>3.1 Code Blue 발령</t>
        </is>
      </c>
      <c r="D15" s="6" t="inlineStr">
        <is>
          <t>호출</t>
        </is>
      </c>
      <c r="E15" s="6" t="inlineStr">
        <is>
          <t>호출 지연</t>
        </is>
      </c>
      <c r="F15" s="6" t="inlineStr">
        <is>
          <t>팀 도착 지연</t>
        </is>
      </c>
      <c r="G15" s="6" t="inlineStr">
        <is>
          <t>호출 번호 비통일(별관별 상이), 먼저 의사를 찾느라 지체</t>
        </is>
      </c>
      <c r="H15" s="6" t="inlineStr">
        <is>
          <t>호출 번호 게시</t>
        </is>
      </c>
      <c r="I15" s="10" t="n">
        <v>10</v>
      </c>
      <c r="J15" s="10" t="n">
        <v>5</v>
      </c>
      <c r="K15" s="10" t="n">
        <v>5</v>
      </c>
      <c r="L15" s="11">
        <f>I15*J15*K15</f>
        <v>250</v>
      </c>
      <c r="M15" s="11" t="str">
        <f>IF(OR(L15&gt;=척도!$B$17,AND(I15&gt;=척도!$B$19,L15&gt;=척도!$B$18)),"높음",IF(L15&gt;=척도!$B$18,"중간","낮음"))</f>
        <v>높음</v>
      </c>
      <c r="N15" s="12" t="inlineStr">
        <is>
          <t>전 원내 단일 호출번호·벽면 버튼 설치</t>
        </is>
      </c>
      <c r="O15" s="13" t="inlineStr"/>
      <c r="P15" s="13" t="inlineStr"/>
      <c r="Q15" s="12" t="inlineStr"/>
    </row>
    <row r="16">
      <c r="A16" s="9" t="inlineStr">
        <is>
          <t>3.1.2</t>
        </is>
      </c>
      <c r="B16" s="6" t="inlineStr">
        <is>
          <t>3 코드 호출·전파</t>
        </is>
      </c>
      <c r="C16" s="6" t="inlineStr">
        <is>
          <t>3.1 Code Blue 발령</t>
        </is>
      </c>
      <c r="D16" s="6" t="inlineStr">
        <is>
          <t>호출</t>
        </is>
      </c>
      <c r="E16" s="6" t="inlineStr">
        <is>
          <t>호출 불통(내선 장애 등)</t>
        </is>
      </c>
      <c r="F16" s="6" t="inlineStr">
        <is>
          <t>호출 실패</t>
        </is>
      </c>
      <c r="G16" s="6" t="inlineStr">
        <is>
          <t>전화·내선 장애, 백업 수단 없음</t>
        </is>
      </c>
      <c r="H16" s="6" t="inlineStr">
        <is>
          <t>없음</t>
        </is>
      </c>
      <c r="I16" s="10" t="n">
        <v>10</v>
      </c>
      <c r="J16" s="10" t="n">
        <v>3</v>
      </c>
      <c r="K16" s="10" t="n">
        <v>6</v>
      </c>
      <c r="L16" s="11">
        <f>I16*J16*K16</f>
        <v>180</v>
      </c>
      <c r="M16" s="11" t="str">
        <f>IF(OR(L16&gt;=척도!$B$17,AND(I16&gt;=척도!$B$19,L16&gt;=척도!$B$18)),"높음",IF(L16&gt;=척도!$B$18,"중간","낮음"))</f>
        <v>낮음</v>
      </c>
      <c r="N16" s="12" t="inlineStr">
        <is>
          <t>백업 호출 수단(앱·무선 PHS) 마련</t>
        </is>
      </c>
      <c r="O16" s="13" t="inlineStr"/>
      <c r="P16" s="13" t="inlineStr"/>
      <c r="Q16" s="12" t="inlineStr"/>
    </row>
    <row r="17">
      <c r="A17" s="9" t="inlineStr">
        <is>
          <t>3.2.1</t>
        </is>
      </c>
      <c r="B17" s="6" t="inlineStr">
        <is>
          <t>3 코드 호출·전파</t>
        </is>
      </c>
      <c r="C17" s="6" t="inlineStr">
        <is>
          <t>3.2 전파</t>
        </is>
      </c>
      <c r="D17" s="6" t="inlineStr">
        <is>
          <t>방송·호출기·문자</t>
        </is>
      </c>
      <c r="E17" s="6" t="inlineStr">
        <is>
          <t>팀원 전달 실패</t>
        </is>
      </c>
      <c r="F17" s="6" t="inlineStr">
        <is>
          <t>팀 구성 지연</t>
        </is>
      </c>
      <c r="G17" s="6" t="inlineStr">
        <is>
          <t>호출기·문자 장애, 음영지역, 야간 대기자 연락 불능</t>
        </is>
      </c>
      <c r="H17" s="6" t="inlineStr">
        <is>
          <t>방송 시스템</t>
        </is>
      </c>
      <c r="I17" s="10" t="n">
        <v>9</v>
      </c>
      <c r="J17" s="10" t="n">
        <v>5</v>
      </c>
      <c r="K17" s="10" t="n">
        <v>6</v>
      </c>
      <c r="L17" s="11">
        <f>I17*J17*K17</f>
        <v>270</v>
      </c>
      <c r="M17" s="11" t="str">
        <f>IF(OR(L17&gt;=척도!$B$17,AND(I17&gt;=척도!$B$19,L17&gt;=척도!$B$18)),"높음",IF(L17&gt;=척도!$B$18,"중간","낮음"))</f>
        <v>중간</v>
      </c>
      <c r="N17" s="12" t="inlineStr">
        <is>
          <t>전파 수단 이중화·수신 확인</t>
        </is>
      </c>
      <c r="O17" s="13" t="inlineStr"/>
      <c r="P17" s="13" t="inlineStr"/>
      <c r="Q17" s="12" t="inlineStr"/>
    </row>
    <row r="18">
      <c r="A18" s="9" t="inlineStr">
        <is>
          <t>3.2.2</t>
        </is>
      </c>
      <c r="B18" s="6" t="inlineStr">
        <is>
          <t>3 코드 호출·전파</t>
        </is>
      </c>
      <c r="C18" s="6" t="inlineStr">
        <is>
          <t>3.2 전파</t>
        </is>
      </c>
      <c r="D18" s="6" t="inlineStr">
        <is>
          <t>대상 선정</t>
        </is>
      </c>
      <c r="E18" s="6" t="inlineStr">
        <is>
          <t>필수 인원 부재 또는 과다 집결</t>
        </is>
      </c>
      <c r="F18" s="6" t="inlineStr">
        <is>
          <t>팀 기능 저하·혼잡</t>
        </is>
      </c>
      <c r="G18" s="6" t="inlineStr">
        <is>
          <t>호출 대상 기준 미정립, 대기자 명단 미갱신</t>
        </is>
      </c>
      <c r="H18" s="6" t="inlineStr">
        <is>
          <t>호출 대상 규정</t>
        </is>
      </c>
      <c r="I18" s="10" t="n">
        <v>7</v>
      </c>
      <c r="J18" s="10" t="n">
        <v>5</v>
      </c>
      <c r="K18" s="10" t="n">
        <v>5</v>
      </c>
      <c r="L18" s="11">
        <f>I18*J18*K18</f>
        <v>175</v>
      </c>
      <c r="M18" s="11" t="str">
        <f>IF(OR(L18&gt;=척도!$B$17,AND(I18&gt;=척도!$B$19,L18&gt;=척도!$B$18)),"높음",IF(L18&gt;=척도!$B$18,"중간","낮음"))</f>
        <v>낮음</v>
      </c>
      <c r="N18" s="12" t="inlineStr">
        <is>
          <t>역할별 대기자 명단 자동 갱신</t>
        </is>
      </c>
      <c r="O18" s="13" t="inlineStr"/>
      <c r="P18" s="13" t="inlineStr"/>
      <c r="Q18" s="12" t="inlineStr"/>
    </row>
    <row r="19">
      <c r="A19" s="9" t="inlineStr">
        <is>
          <t>3.3.1</t>
        </is>
      </c>
      <c r="B19" s="6" t="inlineStr">
        <is>
          <t>3 코드 호출·전파</t>
        </is>
      </c>
      <c r="C19" s="6" t="inlineStr">
        <is>
          <t>3.3 위치 정보 전달</t>
        </is>
      </c>
      <c r="D19" s="6" t="inlineStr">
        <is>
          <t>위치 안내</t>
        </is>
      </c>
      <c r="E19" s="6" t="inlineStr">
        <is>
          <t>건물·층·병실 오전달</t>
        </is>
      </c>
      <c r="F19" s="6" t="inlineStr">
        <is>
          <t>팀의 현장 도착 지연</t>
        </is>
      </c>
      <c r="G19" s="6" t="inlineStr">
        <is>
          <t>대형 병원 구조 복잡, 별관·연결통로, 호출자 정보 누락</t>
        </is>
      </c>
      <c r="H19" s="6" t="inlineStr">
        <is>
          <t>방송 문구 표준</t>
        </is>
      </c>
      <c r="I19" s="10" t="n">
        <v>9</v>
      </c>
      <c r="J19" s="10" t="n">
        <v>5</v>
      </c>
      <c r="K19" s="10" t="n">
        <v>5</v>
      </c>
      <c r="L19" s="11">
        <f>I19*J19*K19</f>
        <v>225</v>
      </c>
      <c r="M19" s="11" t="str">
        <f>IF(OR(L19&gt;=척도!$B$17,AND(I19&gt;=척도!$B$19,L19&gt;=척도!$B$18)),"높음",IF(L19&gt;=척도!$B$18,"중간","낮음"))</f>
        <v>중간</v>
      </c>
      <c r="N19" s="12" t="inlineStr">
        <is>
          <t>위치 방송 형식 표준화(건물-층-병실), 사인물 개선</t>
        </is>
      </c>
      <c r="O19" s="13" t="inlineStr"/>
      <c r="P19" s="13" t="inlineStr"/>
      <c r="Q19" s="12" t="inlineStr"/>
    </row>
    <row r="20">
      <c r="A20" s="9" t="inlineStr">
        <is>
          <t>3.3.2</t>
        </is>
      </c>
      <c r="B20" s="6" t="inlineStr">
        <is>
          <t>3 코드 호출·전파</t>
        </is>
      </c>
      <c r="C20" s="6" t="inlineStr">
        <is>
          <t>3.3 위치 정보 전달</t>
        </is>
      </c>
      <c r="D20" s="6" t="inlineStr">
        <is>
          <t>이동</t>
        </is>
      </c>
      <c r="E20" s="6" t="inlineStr">
        <is>
          <t>엘리베이터 대기·출입 통제로 도착 지연</t>
        </is>
      </c>
      <c r="F20" s="6" t="inlineStr">
        <is>
          <t>제세동 지연</t>
        </is>
      </c>
      <c r="G20" s="6" t="inlineStr">
        <is>
          <t>엘리베이터 우선 호출 미연동, 보안구역</t>
        </is>
      </c>
      <c r="H20" s="6" t="inlineStr">
        <is>
          <t>없음</t>
        </is>
      </c>
      <c r="I20" s="10" t="n">
        <v>8</v>
      </c>
      <c r="J20" s="10" t="n">
        <v>5</v>
      </c>
      <c r="K20" s="10" t="n">
        <v>6</v>
      </c>
      <c r="L20" s="11">
        <f>I20*J20*K20</f>
        <v>240</v>
      </c>
      <c r="M20" s="11" t="str">
        <f>IF(OR(L20&gt;=척도!$B$17,AND(I20&gt;=척도!$B$19,L20&gt;=척도!$B$18)),"높음",IF(L20&gt;=척도!$B$18,"중간","낮음"))</f>
        <v>중간</v>
      </c>
      <c r="N20" s="12" t="inlineStr">
        <is>
          <t>엘리베이터 코드블루 우선 모드, 보안문 자동 해제</t>
        </is>
      </c>
      <c r="O20" s="13" t="inlineStr"/>
      <c r="P20" s="13" t="inlineStr"/>
      <c r="Q20" s="12" t="inlineStr"/>
    </row>
    <row r="21">
      <c r="A21" s="9" t="inlineStr">
        <is>
          <t>4.1.1</t>
        </is>
      </c>
      <c r="B21" s="6" t="inlineStr">
        <is>
          <t>4 초기 소생술(BLS)</t>
        </is>
      </c>
      <c r="C21" s="6" t="inlineStr">
        <is>
          <t>4.1 가슴압박</t>
        </is>
      </c>
      <c r="D21" s="6" t="inlineStr">
        <is>
          <t>시작</t>
        </is>
      </c>
      <c r="E21" s="6" t="inlineStr">
        <is>
          <t>압박 시작 지연</t>
        </is>
      </c>
      <c r="F21" s="6" t="inlineStr">
        <is>
          <t>생존률 저하</t>
        </is>
      </c>
      <c r="G21" s="6" t="inlineStr">
        <is>
          <t>맥박 확인에 과다 시간 소비, 인력 도착 대기</t>
        </is>
      </c>
      <c r="H21" s="6" t="inlineStr">
        <is>
          <t>BLS 교육</t>
        </is>
      </c>
      <c r="I21" s="10" t="n">
        <v>10</v>
      </c>
      <c r="J21" s="10" t="n">
        <v>5</v>
      </c>
      <c r="K21" s="10" t="n">
        <v>5</v>
      </c>
      <c r="L21" s="11">
        <f>I21*J21*K21</f>
        <v>250</v>
      </c>
      <c r="M21" s="11" t="str">
        <f>IF(OR(L21&gt;=척도!$B$17,AND(I21&gt;=척도!$B$19,L21&gt;=척도!$B$18)),"높음",IF(L21&gt;=척도!$B$18,"중간","낮음"))</f>
        <v>높음</v>
      </c>
      <c r="N21" s="12" t="inlineStr">
        <is>
          <t>인지 즉시 압박 원칙 강조</t>
        </is>
      </c>
      <c r="O21" s="13" t="inlineStr"/>
      <c r="P21" s="13" t="inlineStr"/>
      <c r="Q21" s="12" t="inlineStr"/>
    </row>
    <row r="22">
      <c r="A22" s="9" t="inlineStr">
        <is>
          <t>4.1.2</t>
        </is>
      </c>
      <c r="B22" s="6" t="inlineStr">
        <is>
          <t>4 초기 소생술(BLS)</t>
        </is>
      </c>
      <c r="C22" s="6" t="inlineStr">
        <is>
          <t>4.1 가슴압박</t>
        </is>
      </c>
      <c r="D22" s="6" t="inlineStr">
        <is>
          <t>질</t>
        </is>
      </c>
      <c r="E22" s="6" t="inlineStr">
        <is>
          <t>깊이·속도 부적절</t>
        </is>
      </c>
      <c r="F22" s="6" t="inlineStr">
        <is>
          <t>ROSC 확률 저하</t>
        </is>
      </c>
      <c r="G22" s="6" t="inlineStr">
        <is>
          <t>숙련도 부족, 피로, 푹신한 매트리스, 백보드 미사용, 피드백 기기 없음</t>
        </is>
      </c>
      <c r="H22" s="6" t="inlineStr">
        <is>
          <t>없음</t>
        </is>
      </c>
      <c r="I22" s="10" t="n">
        <v>9</v>
      </c>
      <c r="J22" s="10" t="n">
        <v>6</v>
      </c>
      <c r="K22" s="10" t="n">
        <v>7</v>
      </c>
      <c r="L22" s="11">
        <f>I22*J22*K22</f>
        <v>378</v>
      </c>
      <c r="M22" s="11" t="str">
        <f>IF(OR(L22&gt;=척도!$B$17,AND(I22&gt;=척도!$B$19,L22&gt;=척도!$B$18)),"높음",IF(L22&gt;=척도!$B$18,"중간","낮음"))</f>
        <v>높음</v>
      </c>
      <c r="N22" s="12" t="inlineStr">
        <is>
          <t>백보드 비치, CPR 피드백 기기 도입</t>
        </is>
      </c>
      <c r="O22" s="13" t="inlineStr"/>
      <c r="P22" s="13" t="inlineStr"/>
      <c r="Q22" s="12" t="inlineStr"/>
    </row>
    <row r="23">
      <c r="A23" s="9" t="inlineStr">
        <is>
          <t>4.1.3</t>
        </is>
      </c>
      <c r="B23" s="6" t="inlineStr">
        <is>
          <t>4 초기 소생술(BLS)</t>
        </is>
      </c>
      <c r="C23" s="6" t="inlineStr">
        <is>
          <t>4.1 가슴압박</t>
        </is>
      </c>
      <c r="D23" s="6" t="inlineStr">
        <is>
          <t>중단</t>
        </is>
      </c>
      <c r="E23" s="6" t="inlineStr">
        <is>
          <t>압박 중단 과다(압박 비율 저하)</t>
        </is>
      </c>
      <c r="F23" s="6" t="inlineStr">
        <is>
          <t>관상동맥 관류 저하</t>
        </is>
      </c>
      <c r="G23" s="6" t="inlineStr">
        <is>
          <t>장비 준비·이동·기도확보 시 중단, 시간 관리자 부재</t>
        </is>
      </c>
      <c r="H23" s="6" t="inlineStr">
        <is>
          <t>없음</t>
        </is>
      </c>
      <c r="I23" s="10" t="n">
        <v>9</v>
      </c>
      <c r="J23" s="10" t="n">
        <v>6</v>
      </c>
      <c r="K23" s="10" t="n">
        <v>7</v>
      </c>
      <c r="L23" s="11">
        <f>I23*J23*K23</f>
        <v>378</v>
      </c>
      <c r="M23" s="11" t="str">
        <f>IF(OR(L23&gt;=척도!$B$17,AND(I23&gt;=척도!$B$19,L23&gt;=척도!$B$18)),"높음",IF(L23&gt;=척도!$B$18,"중간","낮음"))</f>
        <v>높음</v>
      </c>
      <c r="N23" s="12" t="inlineStr">
        <is>
          <t>압박 비율 측정·피드백, 중단 10초 이내 원칙</t>
        </is>
      </c>
      <c r="O23" s="13" t="inlineStr"/>
      <c r="P23" s="13" t="inlineStr"/>
      <c r="Q23" s="12" t="inlineStr"/>
    </row>
    <row r="24">
      <c r="A24" s="9" t="inlineStr">
        <is>
          <t>4.1.4</t>
        </is>
      </c>
      <c r="B24" s="6" t="inlineStr">
        <is>
          <t>4 초기 소생술(BLS)</t>
        </is>
      </c>
      <c r="C24" s="6" t="inlineStr">
        <is>
          <t>4.1 가슴압박</t>
        </is>
      </c>
      <c r="D24" s="6" t="inlineStr">
        <is>
          <t>교대</t>
        </is>
      </c>
      <c r="E24" s="6" t="inlineStr">
        <is>
          <t>2분 교대 지연</t>
        </is>
      </c>
      <c r="F24" s="6" t="inlineStr">
        <is>
          <t>압박 질 저하</t>
        </is>
      </c>
      <c r="G24" s="6" t="inlineStr">
        <is>
          <t>교대 기준 미준수, 시간 관리 부재</t>
        </is>
      </c>
      <c r="H24" s="6" t="inlineStr">
        <is>
          <t>BLS 교육</t>
        </is>
      </c>
      <c r="I24" s="10" t="n">
        <v>8</v>
      </c>
      <c r="J24" s="10" t="n">
        <v>6</v>
      </c>
      <c r="K24" s="10" t="n">
        <v>6</v>
      </c>
      <c r="L24" s="11">
        <f>I24*J24*K24</f>
        <v>288</v>
      </c>
      <c r="M24" s="11" t="str">
        <f>IF(OR(L24&gt;=척도!$B$17,AND(I24&gt;=척도!$B$19,L24&gt;=척도!$B$18)),"높음",IF(L24&gt;=척도!$B$18,"중간","낮음"))</f>
        <v>중간</v>
      </c>
      <c r="N24" s="12" t="inlineStr">
        <is>
          <t>전담 시간 관리자 지정</t>
        </is>
      </c>
      <c r="O24" s="13" t="inlineStr"/>
      <c r="P24" s="13" t="inlineStr"/>
      <c r="Q24" s="12" t="inlineStr"/>
    </row>
    <row r="25">
      <c r="A25" s="9" t="inlineStr">
        <is>
          <t>4.2.1</t>
        </is>
      </c>
      <c r="B25" s="6" t="inlineStr">
        <is>
          <t>4 초기 소생술(BLS)</t>
        </is>
      </c>
      <c r="C25" s="6" t="inlineStr">
        <is>
          <t>4.2 기도·환기</t>
        </is>
      </c>
      <c r="D25" s="6" t="inlineStr">
        <is>
          <t>환기</t>
        </is>
      </c>
      <c r="E25" s="6" t="inlineStr">
        <is>
          <t>과환기</t>
        </is>
      </c>
      <c r="F25" s="6" t="inlineStr">
        <is>
          <t>흉강 내압 상승, 순환 저해</t>
        </is>
      </c>
      <c r="G25" s="6" t="inlineStr">
        <is>
          <t>긴장, 훈련 부족</t>
        </is>
      </c>
      <c r="H25" s="6" t="inlineStr">
        <is>
          <t>BLS 교육</t>
        </is>
      </c>
      <c r="I25" s="10" t="n">
        <v>7</v>
      </c>
      <c r="J25" s="10" t="n">
        <v>5</v>
      </c>
      <c r="K25" s="10" t="n">
        <v>7</v>
      </c>
      <c r="L25" s="11">
        <f>I25*J25*K25</f>
        <v>245</v>
      </c>
      <c r="M25" s="11" t="str">
        <f>IF(OR(L25&gt;=척도!$B$17,AND(I25&gt;=척도!$B$19,L25&gt;=척도!$B$18)),"높음",IF(L25&gt;=척도!$B$18,"중간","낮음"))</f>
        <v>중간</v>
      </c>
      <c r="N25" s="12" t="inlineStr">
        <is>
          <t>환기 속도 가이드(메트로놈) 활용</t>
        </is>
      </c>
      <c r="O25" s="13" t="inlineStr"/>
      <c r="P25" s="13" t="inlineStr"/>
      <c r="Q25" s="12" t="inlineStr"/>
    </row>
    <row r="26">
      <c r="A26" s="9" t="inlineStr">
        <is>
          <t>4.2.2</t>
        </is>
      </c>
      <c r="B26" s="6" t="inlineStr">
        <is>
          <t>4 초기 소생술(BLS)</t>
        </is>
      </c>
      <c r="C26" s="6" t="inlineStr">
        <is>
          <t>4.2 기도·환기</t>
        </is>
      </c>
      <c r="D26" s="6" t="inlineStr">
        <is>
          <t>BVM</t>
        </is>
      </c>
      <c r="E26" s="6" t="inlineStr">
        <is>
          <t>기도 개방·마스크 밀착 실패</t>
        </is>
      </c>
      <c r="F26" s="6" t="inlineStr">
        <is>
          <t>저산소 지속</t>
        </is>
      </c>
      <c r="G26" s="6" t="inlineStr">
        <is>
          <t>기술 미숙, 마스크 크기 부적합, 장비 고장</t>
        </is>
      </c>
      <c r="H26" s="6" t="inlineStr">
        <is>
          <t>교육</t>
        </is>
      </c>
      <c r="I26" s="10" t="n">
        <v>9</v>
      </c>
      <c r="J26" s="10" t="n">
        <v>5</v>
      </c>
      <c r="K26" s="10" t="n">
        <v>5</v>
      </c>
      <c r="L26" s="11">
        <f>I26*J26*K26</f>
        <v>225</v>
      </c>
      <c r="M26" s="11" t="str">
        <f>IF(OR(L26&gt;=척도!$B$17,AND(I26&gt;=척도!$B$19,L26&gt;=척도!$B$18)),"높음",IF(L26&gt;=척도!$B$18,"중간","낮음"))</f>
        <v>중간</v>
      </c>
      <c r="N26" s="12" t="inlineStr">
        <is>
          <t>2인 BVM 기법, 크기별 마스크 구비</t>
        </is>
      </c>
      <c r="O26" s="13" t="inlineStr"/>
      <c r="P26" s="13" t="inlineStr"/>
      <c r="Q26" s="12" t="inlineStr"/>
    </row>
    <row r="27">
      <c r="A27" s="9" t="inlineStr">
        <is>
          <t>4.2.3</t>
        </is>
      </c>
      <c r="B27" s="6" t="inlineStr">
        <is>
          <t>4 초기 소생술(BLS)</t>
        </is>
      </c>
      <c r="C27" s="6" t="inlineStr">
        <is>
          <t>4.2 기도·환기</t>
        </is>
      </c>
      <c r="D27" s="6" t="inlineStr">
        <is>
          <t>산소</t>
        </is>
      </c>
      <c r="E27" s="6" t="inlineStr">
        <is>
          <t>산소 미연결·잔량 부족</t>
        </is>
      </c>
      <c r="F27" s="6" t="inlineStr">
        <is>
          <t>저산소</t>
        </is>
      </c>
      <c r="G27" s="6" t="inlineStr">
        <is>
          <t>연결구 접근 불가, 유량 미설정</t>
        </is>
      </c>
      <c r="H27" s="6" t="inlineStr">
        <is>
          <t>카트 점검</t>
        </is>
      </c>
      <c r="I27" s="10" t="n">
        <v>9</v>
      </c>
      <c r="J27" s="10" t="n">
        <v>4</v>
      </c>
      <c r="K27" s="10" t="n">
        <v>5</v>
      </c>
      <c r="L27" s="11">
        <f>I27*J27*K27</f>
        <v>180</v>
      </c>
      <c r="M27" s="11" t="str">
        <f>IF(OR(L27&gt;=척도!$B$17,AND(I27&gt;=척도!$B$19,L27&gt;=척도!$B$18)),"높음",IF(L27&gt;=척도!$B$18,"중간","낮음"))</f>
        <v>낮음</v>
      </c>
      <c r="N27" s="12" t="inlineStr">
        <is>
          <t>산소 연결 체크리스트</t>
        </is>
      </c>
      <c r="O27" s="13" t="inlineStr"/>
      <c r="P27" s="13" t="inlineStr"/>
      <c r="Q27" s="12" t="inlineStr"/>
    </row>
    <row r="28">
      <c r="A28" s="9" t="inlineStr">
        <is>
          <t>4.3.1</t>
        </is>
      </c>
      <c r="B28" s="6" t="inlineStr">
        <is>
          <t>4 초기 소생술(BLS)</t>
        </is>
      </c>
      <c r="C28" s="6" t="inlineStr">
        <is>
          <t>4.3 AED·제세동기</t>
        </is>
      </c>
      <c r="D28" s="6" t="inlineStr">
        <is>
          <t>도착</t>
        </is>
      </c>
      <c r="E28" s="6" t="inlineStr">
        <is>
          <t>제세동기 도착 지연</t>
        </is>
      </c>
      <c r="F28" s="6" t="inlineStr">
        <is>
          <t>제세동 지연 → 생존률 저하</t>
        </is>
      </c>
      <c r="G28" s="6" t="inlineStr">
        <is>
          <t>위치 미파악, 층별 배치 부족</t>
        </is>
      </c>
      <c r="H28" s="6" t="inlineStr">
        <is>
          <t>배치 목록</t>
        </is>
      </c>
      <c r="I28" s="10" t="n">
        <v>10</v>
      </c>
      <c r="J28" s="10" t="n">
        <v>5</v>
      </c>
      <c r="K28" s="10" t="n">
        <v>5</v>
      </c>
      <c r="L28" s="11">
        <f>I28*J28*K28</f>
        <v>250</v>
      </c>
      <c r="M28" s="11" t="str">
        <f>IF(OR(L28&gt;=척도!$B$17,AND(I28&gt;=척도!$B$19,L28&gt;=척도!$B$18)),"높음",IF(L28&gt;=척도!$B$18,"중간","낮음"))</f>
        <v>높음</v>
      </c>
      <c r="N28" s="12" t="inlineStr">
        <is>
          <t>층·구역별 배치 지도, 3분 내 도착 목표</t>
        </is>
      </c>
      <c r="O28" s="13" t="inlineStr"/>
      <c r="P28" s="13" t="inlineStr"/>
      <c r="Q28" s="12" t="inlineStr"/>
    </row>
    <row r="29">
      <c r="A29" s="9" t="inlineStr">
        <is>
          <t>4.3.2</t>
        </is>
      </c>
      <c r="B29" s="6" t="inlineStr">
        <is>
          <t>4 초기 소생술(BLS)</t>
        </is>
      </c>
      <c r="C29" s="6" t="inlineStr">
        <is>
          <t>4.3 AED·제세동기</t>
        </is>
      </c>
      <c r="D29" s="6" t="inlineStr">
        <is>
          <t>장비 상태</t>
        </is>
      </c>
      <c r="E29" s="6" t="inlineStr">
        <is>
          <t>전원 불량·배터리 방전·패드 만료</t>
        </is>
      </c>
      <c r="F29" s="6" t="inlineStr">
        <is>
          <t>제세동 불가</t>
        </is>
      </c>
      <c r="G29" s="6" t="inlineStr">
        <is>
          <t>일일 점검 형식화, 정비 누락</t>
        </is>
      </c>
      <c r="H29" s="6" t="inlineStr">
        <is>
          <t>점검표</t>
        </is>
      </c>
      <c r="I29" s="10" t="n">
        <v>10</v>
      </c>
      <c r="J29" s="10" t="n">
        <v>4</v>
      </c>
      <c r="K29" s="10" t="n">
        <v>6</v>
      </c>
      <c r="L29" s="11">
        <f>I29*J29*K29</f>
        <v>240</v>
      </c>
      <c r="M29" s="11" t="str">
        <f>IF(OR(L29&gt;=척도!$B$17,AND(I29&gt;=척도!$B$19,L29&gt;=척도!$B$18)),"높음",IF(L29&gt;=척도!$B$18,"중간","낮음"))</f>
        <v>높음</v>
      </c>
      <c r="N29" s="12" t="inlineStr">
        <is>
          <t>자동 자가진단 장비·점검 감사</t>
        </is>
      </c>
      <c r="O29" s="13" t="inlineStr"/>
      <c r="P29" s="13" t="inlineStr"/>
      <c r="Q29" s="12" t="inlineStr"/>
    </row>
    <row r="30">
      <c r="A30" s="9" t="inlineStr">
        <is>
          <t>4.3.3</t>
        </is>
      </c>
      <c r="B30" s="6" t="inlineStr">
        <is>
          <t>4 초기 소생술(BLS)</t>
        </is>
      </c>
      <c r="C30" s="6" t="inlineStr">
        <is>
          <t>4.3 AED·제세동기</t>
        </is>
      </c>
      <c r="D30" s="6" t="inlineStr">
        <is>
          <t>패드 부착</t>
        </is>
      </c>
      <c r="E30" s="6" t="inlineStr">
        <is>
          <t>위치 오류·접촉 불량</t>
        </is>
      </c>
      <c r="F30" s="6" t="inlineStr">
        <is>
          <t>제세동 효과 저하</t>
        </is>
      </c>
      <c r="G30" s="6" t="inlineStr">
        <is>
          <t>교육 부족, 체모·습기, 부착 약물 패치</t>
        </is>
      </c>
      <c r="H30" s="6" t="inlineStr">
        <is>
          <t>교육</t>
        </is>
      </c>
      <c r="I30" s="10" t="n">
        <v>8</v>
      </c>
      <c r="J30" s="10" t="n">
        <v>5</v>
      </c>
      <c r="K30" s="10" t="n">
        <v>5</v>
      </c>
      <c r="L30" s="11">
        <f>I30*J30*K30</f>
        <v>200</v>
      </c>
      <c r="M30" s="11" t="str">
        <f>IF(OR(L30&gt;=척도!$B$17,AND(I30&gt;=척도!$B$19,L30&gt;=척도!$B$18)),"높음",IF(L30&gt;=척도!$B$18,"중간","낮음"))</f>
        <v>중간</v>
      </c>
      <c r="N30" s="12" t="inlineStr">
        <is>
          <t>패드 부착 실습 강화</t>
        </is>
      </c>
      <c r="O30" s="13" t="inlineStr"/>
      <c r="P30" s="13" t="inlineStr"/>
      <c r="Q30" s="12" t="inlineStr"/>
    </row>
    <row r="31">
      <c r="A31" s="9" t="inlineStr">
        <is>
          <t>5.1.1</t>
        </is>
      </c>
      <c r="B31" s="6" t="inlineStr">
        <is>
          <t>5 전문소생술(ACLS)</t>
        </is>
      </c>
      <c r="C31" s="6" t="inlineStr">
        <is>
          <t>5.1 팀 구성</t>
        </is>
      </c>
      <c r="D31" s="6" t="inlineStr">
        <is>
          <t>리더 지정</t>
        </is>
      </c>
      <c r="E31" s="6" t="inlineStr">
        <is>
          <t>리더 부재·불명확</t>
        </is>
      </c>
      <c r="F31" s="6" t="inlineStr">
        <is>
          <t>지휘 혼선, 지연</t>
        </is>
      </c>
      <c r="G31" s="6" t="inlineStr">
        <is>
          <t>리더 지정 규정 부재, 책임 전가, 위계</t>
        </is>
      </c>
      <c r="H31" s="6" t="inlineStr">
        <is>
          <t>역할 규정</t>
        </is>
      </c>
      <c r="I31" s="10" t="n">
        <v>9</v>
      </c>
      <c r="J31" s="10" t="n">
        <v>5</v>
      </c>
      <c r="K31" s="10" t="n">
        <v>6</v>
      </c>
      <c r="L31" s="11">
        <f>I31*J31*K31</f>
        <v>270</v>
      </c>
      <c r="M31" s="11" t="str">
        <f>IF(OR(L31&gt;=척도!$B$17,AND(I31&gt;=척도!$B$19,L31&gt;=척도!$B$18)),"높음",IF(L31&gt;=척도!$B$18,"중간","낮음"))</f>
        <v>중간</v>
      </c>
      <c r="N31" s="12" t="inlineStr">
        <is>
          <t>코드 시작 시 리더·역할 소리 내어 선언</t>
        </is>
      </c>
      <c r="O31" s="13" t="inlineStr"/>
      <c r="P31" s="13" t="inlineStr"/>
      <c r="Q31" s="12" t="inlineStr"/>
    </row>
    <row r="32">
      <c r="A32" s="9" t="inlineStr">
        <is>
          <t>5.1.2</t>
        </is>
      </c>
      <c r="B32" s="6" t="inlineStr">
        <is>
          <t>5 전문소생술(ACLS)</t>
        </is>
      </c>
      <c r="C32" s="6" t="inlineStr">
        <is>
          <t>5.1 팀 구성</t>
        </is>
      </c>
      <c r="D32" s="6" t="inlineStr">
        <is>
          <t>역할 배정</t>
        </is>
      </c>
      <c r="E32" s="6" t="inlineStr">
        <is>
          <t>역할 중복·공백</t>
        </is>
      </c>
      <c r="F32" s="6" t="inlineStr">
        <is>
          <t>업무 누락</t>
        </is>
      </c>
      <c r="G32" s="6" t="inlineStr">
        <is>
          <t>사전 배정 안 됨, 팀 구성 변동</t>
        </is>
      </c>
      <c r="H32" s="6" t="inlineStr">
        <is>
          <t>역할 카드</t>
        </is>
      </c>
      <c r="I32" s="10" t="n">
        <v>8</v>
      </c>
      <c r="J32" s="10" t="n">
        <v>6</v>
      </c>
      <c r="K32" s="10" t="n">
        <v>6</v>
      </c>
      <c r="L32" s="11">
        <f>I32*J32*K32</f>
        <v>288</v>
      </c>
      <c r="M32" s="11" t="str">
        <f>IF(OR(L32&gt;=척도!$B$17,AND(I32&gt;=척도!$B$19,L32&gt;=척도!$B$18)),"높음",IF(L32&gt;=척도!$B$18,"중간","낮음"))</f>
        <v>중간</v>
      </c>
      <c r="N32" s="12" t="inlineStr">
        <is>
          <t>역할 배지·보드 사용</t>
        </is>
      </c>
      <c r="O32" s="13" t="inlineStr"/>
      <c r="P32" s="13" t="inlineStr"/>
      <c r="Q32" s="12" t="inlineStr"/>
    </row>
    <row r="33">
      <c r="A33" s="9" t="inlineStr">
        <is>
          <t>5.2.1</t>
        </is>
      </c>
      <c r="B33" s="6" t="inlineStr">
        <is>
          <t>5 전문소생술(ACLS)</t>
        </is>
      </c>
      <c r="C33" s="6" t="inlineStr">
        <is>
          <t>5.2 리듬 분석·제세동</t>
        </is>
      </c>
      <c r="D33" s="6" t="inlineStr">
        <is>
          <t>리듬 판독</t>
        </is>
      </c>
      <c r="E33" s="6" t="inlineStr">
        <is>
          <t>리듬 오판</t>
        </is>
      </c>
      <c r="F33" s="6" t="inlineStr">
        <is>
          <t>부적절한 처치</t>
        </is>
      </c>
      <c r="G33" s="6" t="inlineStr">
        <is>
          <t>판독 훈련 부족, 압박 중 아티팩트</t>
        </is>
      </c>
      <c r="H33" s="6" t="inlineStr">
        <is>
          <t>ACLS 교육</t>
        </is>
      </c>
      <c r="I33" s="10" t="n">
        <v>9</v>
      </c>
      <c r="J33" s="10" t="n">
        <v>5</v>
      </c>
      <c r="K33" s="10" t="n">
        <v>6</v>
      </c>
      <c r="L33" s="11">
        <f>I33*J33*K33</f>
        <v>270</v>
      </c>
      <c r="M33" s="11" t="str">
        <f>IF(OR(L33&gt;=척도!$B$17,AND(I33&gt;=척도!$B$19,L33&gt;=척도!$B$18)),"높음",IF(L33&gt;=척도!$B$18,"중간","낮음"))</f>
        <v>중간</v>
      </c>
      <c r="N33" s="12" t="inlineStr">
        <is>
          <t>리듬 판독 정기 평가</t>
        </is>
      </c>
      <c r="O33" s="13" t="inlineStr"/>
      <c r="P33" s="13" t="inlineStr"/>
      <c r="Q33" s="12" t="inlineStr"/>
    </row>
    <row r="34">
      <c r="A34" s="9" t="inlineStr">
        <is>
          <t>5.2.2</t>
        </is>
      </c>
      <c r="B34" s="6" t="inlineStr">
        <is>
          <t>5 전문소생술(ACLS)</t>
        </is>
      </c>
      <c r="C34" s="6" t="inlineStr">
        <is>
          <t>5.2 리듬 분석·제세동</t>
        </is>
      </c>
      <c r="D34" s="6" t="inlineStr">
        <is>
          <t>제세동 시행</t>
        </is>
      </c>
      <c r="E34" s="6" t="inlineStr">
        <is>
          <t>제세동 지연·누락</t>
        </is>
      </c>
      <c r="F34" s="6" t="inlineStr">
        <is>
          <t>생존률 저하</t>
        </is>
      </c>
      <c r="G34" s="6" t="inlineStr">
        <is>
          <t>충전 지연, 판단 지연, 안전 확인 절차 혼란</t>
        </is>
      </c>
      <c r="H34" s="6" t="inlineStr">
        <is>
          <t>ACLS 교육</t>
        </is>
      </c>
      <c r="I34" s="10" t="n">
        <v>10</v>
      </c>
      <c r="J34" s="10" t="n">
        <v>5</v>
      </c>
      <c r="K34" s="10" t="n">
        <v>5</v>
      </c>
      <c r="L34" s="11">
        <f>I34*J34*K34</f>
        <v>250</v>
      </c>
      <c r="M34" s="11" t="str">
        <f>IF(OR(L34&gt;=척도!$B$17,AND(I34&gt;=척도!$B$19,L34&gt;=척도!$B$18)),"높음",IF(L34&gt;=척도!$B$18,"중간","낮음"))</f>
        <v>높음</v>
      </c>
      <c r="N34" s="12" t="inlineStr">
        <is>
          <t>압박 중 충전 프로토콜, 목표 시간 모니터링</t>
        </is>
      </c>
      <c r="O34" s="13" t="inlineStr"/>
      <c r="P34" s="13" t="inlineStr"/>
      <c r="Q34" s="12" t="inlineStr"/>
    </row>
    <row r="35">
      <c r="A35" s="9" t="inlineStr">
        <is>
          <t>5.2.3</t>
        </is>
      </c>
      <c r="B35" s="6" t="inlineStr">
        <is>
          <t>5 전문소생술(ACLS)</t>
        </is>
      </c>
      <c r="C35" s="6" t="inlineStr">
        <is>
          <t>5.2 리듬 분석·제세동</t>
        </is>
      </c>
      <c r="D35" s="6" t="inlineStr">
        <is>
          <t>설정</t>
        </is>
      </c>
      <c r="E35" s="6" t="inlineStr">
        <is>
          <t>에너지 오설정 / Sync 모드 잔존</t>
        </is>
      </c>
      <c r="F35" s="6" t="inlineStr">
        <is>
          <t>제세동 실패(동기화로 방전 안 됨)</t>
        </is>
      </c>
      <c r="G35" s="6" t="inlineStr">
        <is>
          <t>장비 UI 복잡, 기종 혼재, 직전 심율동전환 후 미해제</t>
        </is>
      </c>
      <c r="H35" s="6" t="inlineStr">
        <is>
          <t>장비 교육</t>
        </is>
      </c>
      <c r="I35" s="10" t="n">
        <v>10</v>
      </c>
      <c r="J35" s="10" t="n">
        <v>3</v>
      </c>
      <c r="K35" s="10" t="n">
        <v>6</v>
      </c>
      <c r="L35" s="11">
        <f>I35*J35*K35</f>
        <v>180</v>
      </c>
      <c r="M35" s="11" t="str">
        <f>IF(OR(L35&gt;=척도!$B$17,AND(I35&gt;=척도!$B$19,L35&gt;=척도!$B$18)),"높음",IF(L35&gt;=척도!$B$18,"중간","낮음"))</f>
        <v>낮음</v>
      </c>
      <c r="N35" s="12" t="inlineStr">
        <is>
          <t>장비 기종 표준화, 체크리스트</t>
        </is>
      </c>
      <c r="O35" s="13" t="inlineStr"/>
      <c r="P35" s="13" t="inlineStr"/>
      <c r="Q35" s="12" t="inlineStr"/>
    </row>
    <row r="36">
      <c r="A36" s="9" t="inlineStr">
        <is>
          <t>5.3.1</t>
        </is>
      </c>
      <c r="B36" s="6" t="inlineStr">
        <is>
          <t>5 전문소생술(ACLS)</t>
        </is>
      </c>
      <c r="C36" s="6" t="inlineStr">
        <is>
          <t>5.3 혈관로 확보</t>
        </is>
      </c>
      <c r="D36" s="6" t="inlineStr">
        <is>
          <t>IV/IO</t>
        </is>
      </c>
      <c r="E36" s="6" t="inlineStr">
        <is>
          <t>혈관 확보 지연</t>
        </is>
      </c>
      <c r="F36" s="6" t="inlineStr">
        <is>
          <t>약물 투여 지연</t>
        </is>
      </c>
      <c r="G36" s="6" t="inlineStr">
        <is>
          <t>숙련자 부재, 어려운 혈관, 골내주사 장비 미비</t>
        </is>
      </c>
      <c r="H36" s="6" t="inlineStr">
        <is>
          <t>IV 교육</t>
        </is>
      </c>
      <c r="I36" s="10" t="n">
        <v>8</v>
      </c>
      <c r="J36" s="10" t="n">
        <v>6</v>
      </c>
      <c r="K36" s="10" t="n">
        <v>5</v>
      </c>
      <c r="L36" s="11">
        <f>I36*J36*K36</f>
        <v>240</v>
      </c>
      <c r="M36" s="11" t="str">
        <f>IF(OR(L36&gt;=척도!$B$17,AND(I36&gt;=척도!$B$19,L36&gt;=척도!$B$18)),"높음",IF(L36&gt;=척도!$B$18,"중간","낮음"))</f>
        <v>중간</v>
      </c>
      <c r="N36" s="12" t="inlineStr">
        <is>
          <t>IO 장비·교육 확대</t>
        </is>
      </c>
      <c r="O36" s="13" t="inlineStr"/>
      <c r="P36" s="13" t="inlineStr"/>
      <c r="Q36" s="12" t="inlineStr"/>
    </row>
    <row r="37">
      <c r="A37" s="9" t="inlineStr">
        <is>
          <t>5.4.1</t>
        </is>
      </c>
      <c r="B37" s="6" t="inlineStr">
        <is>
          <t>5 전문소생술(ACLS)</t>
        </is>
      </c>
      <c r="C37" s="6" t="inlineStr">
        <is>
          <t>5.4 약물 투여</t>
        </is>
      </c>
      <c r="D37" s="6" t="inlineStr">
        <is>
          <t>투여</t>
        </is>
      </c>
      <c r="E37" s="6" t="inlineStr">
        <is>
          <t>에피네프린 등 투여 지연·누락</t>
        </is>
      </c>
      <c r="F37" s="6" t="inlineStr">
        <is>
          <t>ROSC 저하</t>
        </is>
      </c>
      <c r="G37" s="6" t="inlineStr">
        <is>
          <t>구두 처방 혼선, 준비 시간, 시간 관리 부재</t>
        </is>
      </c>
      <c r="H37" s="6" t="inlineStr">
        <is>
          <t>프로토콜</t>
        </is>
      </c>
      <c r="I37" s="10" t="n">
        <v>9</v>
      </c>
      <c r="J37" s="10" t="n">
        <v>5</v>
      </c>
      <c r="K37" s="10" t="n">
        <v>6</v>
      </c>
      <c r="L37" s="11">
        <f>I37*J37*K37</f>
        <v>270</v>
      </c>
      <c r="M37" s="11" t="str">
        <f>IF(OR(L37&gt;=척도!$B$17,AND(I37&gt;=척도!$B$19,L37&gt;=척도!$B$18)),"높음",IF(L37&gt;=척도!$B$18,"중간","낮음"))</f>
        <v>중간</v>
      </c>
      <c r="N37" s="12" t="inlineStr">
        <is>
          <t>사전 충전 주사기, 약물 타이머</t>
        </is>
      </c>
      <c r="O37" s="13" t="inlineStr"/>
      <c r="P37" s="13" t="inlineStr"/>
      <c r="Q37" s="12" t="inlineStr"/>
    </row>
    <row r="38">
      <c r="A38" s="9" t="inlineStr">
        <is>
          <t>5.4.2</t>
        </is>
      </c>
      <c r="B38" s="6" t="inlineStr">
        <is>
          <t>5 전문소생술(ACLS)</t>
        </is>
      </c>
      <c r="C38" s="6" t="inlineStr">
        <is>
          <t>5.4 약물 투여</t>
        </is>
      </c>
      <c r="D38" s="6" t="inlineStr">
        <is>
          <t>용량·농도</t>
        </is>
      </c>
      <c r="E38" s="6" t="inlineStr">
        <is>
          <t>약명·용량·농도 오류</t>
        </is>
      </c>
      <c r="F38" s="6" t="inlineStr">
        <is>
          <t>약물 이상반응</t>
        </is>
      </c>
      <c r="G38" s="6" t="inlineStr">
        <is>
          <t>유사 외형·명칭 약품, 구두 처방, 희석 계산, 스트레스</t>
        </is>
      </c>
      <c r="H38" s="6" t="inlineStr">
        <is>
          <t>복창</t>
        </is>
      </c>
      <c r="I38" s="10" t="n">
        <v>10</v>
      </c>
      <c r="J38" s="10" t="n">
        <v>4</v>
      </c>
      <c r="K38" s="10" t="n">
        <v>6</v>
      </c>
      <c r="L38" s="11">
        <f>I38*J38*K38</f>
        <v>240</v>
      </c>
      <c r="M38" s="11" t="str">
        <f>IF(OR(L38&gt;=척도!$B$17,AND(I38&gt;=척도!$B$19,L38&gt;=척도!$B$18)),"높음",IF(L38&gt;=척도!$B$18,"중간","낮음"))</f>
        <v>높음</v>
      </c>
      <c r="N38" s="12" t="inlineStr">
        <is>
          <t>코드카트 약물 단위 포장·용량표 부착</t>
        </is>
      </c>
      <c r="O38" s="13" t="inlineStr"/>
      <c r="P38" s="13" t="inlineStr"/>
      <c r="Q38" s="12" t="inlineStr"/>
    </row>
    <row r="39">
      <c r="A39" s="9" t="inlineStr">
        <is>
          <t>5.4.3</t>
        </is>
      </c>
      <c r="B39" s="6" t="inlineStr">
        <is>
          <t>5 전문소생술(ACLS)</t>
        </is>
      </c>
      <c r="C39" s="6" t="inlineStr">
        <is>
          <t>5.4 약물 투여</t>
        </is>
      </c>
      <c r="D39" s="6" t="inlineStr">
        <is>
          <t>경로·후속</t>
        </is>
      </c>
      <c r="E39" s="6" t="inlineStr">
        <is>
          <t>투여 경로 오류·후속 플러시 누락</t>
        </is>
      </c>
      <c r="F39" s="6" t="inlineStr">
        <is>
          <t>약물 효과 저하</t>
        </is>
      </c>
      <c r="G39" s="6" t="inlineStr">
        <is>
          <t>교육 부족, 절차 비표준화</t>
        </is>
      </c>
      <c r="H39" s="6" t="inlineStr">
        <is>
          <t>교육</t>
        </is>
      </c>
      <c r="I39" s="10" t="n">
        <v>7</v>
      </c>
      <c r="J39" s="10" t="n">
        <v>5</v>
      </c>
      <c r="K39" s="10" t="n">
        <v>6</v>
      </c>
      <c r="L39" s="11">
        <f>I39*J39*K39</f>
        <v>210</v>
      </c>
      <c r="M39" s="11" t="str">
        <f>IF(OR(L39&gt;=척도!$B$17,AND(I39&gt;=척도!$B$19,L39&gt;=척도!$B$18)),"높음",IF(L39&gt;=척도!$B$18,"중간","낮음"))</f>
        <v>중간</v>
      </c>
      <c r="N39" s="12" t="inlineStr">
        <is>
          <t>절차 체크리스트</t>
        </is>
      </c>
      <c r="O39" s="13" t="inlineStr"/>
      <c r="P39" s="13" t="inlineStr"/>
      <c r="Q39" s="12" t="inlineStr"/>
    </row>
    <row r="40">
      <c r="A40" s="9" t="inlineStr">
        <is>
          <t>5.5.1</t>
        </is>
      </c>
      <c r="B40" s="6" t="inlineStr">
        <is>
          <t>5 전문소생술(ACLS)</t>
        </is>
      </c>
      <c r="C40" s="6" t="inlineStr">
        <is>
          <t>5.5 전문기도</t>
        </is>
      </c>
      <c r="D40" s="6" t="inlineStr">
        <is>
          <t>삽관</t>
        </is>
      </c>
      <c r="E40" s="6" t="inlineStr">
        <is>
          <t>삽관 지연·실패</t>
        </is>
      </c>
      <c r="F40" s="6" t="inlineStr">
        <is>
          <t>저산소 지속</t>
        </is>
      </c>
      <c r="G40" s="6" t="inlineStr">
        <is>
          <t>어려운 기도 사전 파악 불가, 숙련자 지연, 장비 부족</t>
        </is>
      </c>
      <c r="H40" s="6" t="inlineStr">
        <is>
          <t>호출 체계</t>
        </is>
      </c>
      <c r="I40" s="10" t="n">
        <v>10</v>
      </c>
      <c r="J40" s="10" t="n">
        <v>5</v>
      </c>
      <c r="K40" s="10" t="n">
        <v>5</v>
      </c>
      <c r="L40" s="11">
        <f>I40*J40*K40</f>
        <v>250</v>
      </c>
      <c r="M40" s="11" t="str">
        <f>IF(OR(L40&gt;=척도!$B$17,AND(I40&gt;=척도!$B$19,L40&gt;=척도!$B$18)),"높음",IF(L40&gt;=척도!$B$18,"중간","낮음"))</f>
        <v>높음</v>
      </c>
      <c r="N40" s="12" t="inlineStr">
        <is>
          <t>기도팀 호출, 비디오후두경 비치</t>
        </is>
      </c>
      <c r="O40" s="13" t="inlineStr"/>
      <c r="P40" s="13" t="inlineStr"/>
      <c r="Q40" s="12" t="inlineStr"/>
    </row>
    <row r="41">
      <c r="A41" s="9" t="inlineStr">
        <is>
          <t>5.5.2</t>
        </is>
      </c>
      <c r="B41" s="6" t="inlineStr">
        <is>
          <t>5 전문소생술(ACLS)</t>
        </is>
      </c>
      <c r="C41" s="6" t="inlineStr">
        <is>
          <t>5.5 전문기도</t>
        </is>
      </c>
      <c r="D41" s="6" t="inlineStr">
        <is>
          <t>위치 확인</t>
        </is>
      </c>
      <c r="E41" s="6" t="inlineStr">
        <is>
          <t>식도 삽관·튜브 이탈 미인지</t>
        </is>
      </c>
      <c r="F41" s="6" t="inlineStr">
        <is>
          <t>치명적 저산소</t>
        </is>
      </c>
      <c r="G41" s="6" t="inlineStr">
        <is>
          <t>파형 이산화탄소 측정기 미사용, 이송 중 고정 불량</t>
        </is>
      </c>
      <c r="H41" s="6" t="inlineStr">
        <is>
          <t>청진 확인</t>
        </is>
      </c>
      <c r="I41" s="10" t="n">
        <v>10</v>
      </c>
      <c r="J41" s="10" t="n">
        <v>4</v>
      </c>
      <c r="K41" s="10" t="n">
        <v>6</v>
      </c>
      <c r="L41" s="11">
        <f>I41*J41*K41</f>
        <v>240</v>
      </c>
      <c r="M41" s="11" t="str">
        <f>IF(OR(L41&gt;=척도!$B$17,AND(I41&gt;=척도!$B$19,L41&gt;=척도!$B$18)),"높음",IF(L41&gt;=척도!$B$18,"중간","낮음"))</f>
        <v>높음</v>
      </c>
      <c r="N41" s="12" t="inlineStr">
        <is>
          <t>파형 capnography 의무화</t>
        </is>
      </c>
      <c r="O41" s="13" t="inlineStr"/>
      <c r="P41" s="13" t="inlineStr"/>
      <c r="Q41" s="12" t="inlineStr"/>
    </row>
    <row r="42">
      <c r="A42" s="9" t="inlineStr">
        <is>
          <t>5.6.1</t>
        </is>
      </c>
      <c r="B42" s="6" t="inlineStr">
        <is>
          <t>5 전문소생술(ACLS)</t>
        </is>
      </c>
      <c r="C42" s="6" t="inlineStr">
        <is>
          <t>5.6 원인 감별(H&amp;T)</t>
        </is>
      </c>
      <c r="D42" s="6" t="inlineStr">
        <is>
          <t>원인 탐색</t>
        </is>
      </c>
      <c r="E42" s="6" t="inlineStr">
        <is>
          <t>가역적 원인 미탐색</t>
        </is>
      </c>
      <c r="F42" s="6" t="inlineStr">
        <is>
          <t>재발·소생 실패</t>
        </is>
      </c>
      <c r="G42" s="6" t="inlineStr">
        <is>
          <t>인지 과부하, 체크리스트 부재, 초음파 미가용</t>
        </is>
      </c>
      <c r="H42" s="6" t="inlineStr">
        <is>
          <t>없음</t>
        </is>
      </c>
      <c r="I42" s="10" t="n">
        <v>9</v>
      </c>
      <c r="J42" s="10" t="n">
        <v>6</v>
      </c>
      <c r="K42" s="10" t="n">
        <v>7</v>
      </c>
      <c r="L42" s="11">
        <f>I42*J42*K42</f>
        <v>378</v>
      </c>
      <c r="M42" s="11" t="str">
        <f>IF(OR(L42&gt;=척도!$B$17,AND(I42&gt;=척도!$B$19,L42&gt;=척도!$B$18)),"높음",IF(L42&gt;=척도!$B$18,"중간","낮음"))</f>
        <v>높음</v>
      </c>
      <c r="N42" s="12" t="inlineStr">
        <is>
          <t>H&amp;T 체크리스트 카드, 코드 시 POCUS</t>
        </is>
      </c>
      <c r="O42" s="13" t="inlineStr"/>
      <c r="P42" s="13" t="inlineStr"/>
      <c r="Q42" s="12" t="inlineStr"/>
    </row>
    <row r="43">
      <c r="A43" s="9" t="inlineStr">
        <is>
          <t>5.6.2</t>
        </is>
      </c>
      <c r="B43" s="6" t="inlineStr">
        <is>
          <t>5 전문소생술(ACLS)</t>
        </is>
      </c>
      <c r="C43" s="6" t="inlineStr">
        <is>
          <t>5.6 원인 감별(H&amp;T)</t>
        </is>
      </c>
      <c r="D43" s="6" t="inlineStr">
        <is>
          <t>정보 접근</t>
        </is>
      </c>
      <c r="E43" s="6" t="inlineStr">
        <is>
          <t>병력·알레르기·약물 정보 확인 지연</t>
        </is>
      </c>
      <c r="F43" s="6" t="inlineStr">
        <is>
          <t>원인 파악 지연</t>
        </is>
      </c>
      <c r="G43" s="6" t="inlineStr">
        <is>
          <t>전산 접근 불가, 담당의 연락 지연</t>
        </is>
      </c>
      <c r="H43" s="6" t="inlineStr">
        <is>
          <t>없음</t>
        </is>
      </c>
      <c r="I43" s="10" t="n">
        <v>7</v>
      </c>
      <c r="J43" s="10" t="n">
        <v>6</v>
      </c>
      <c r="K43" s="10" t="n">
        <v>6</v>
      </c>
      <c r="L43" s="11">
        <f>I43*J43*K43</f>
        <v>252</v>
      </c>
      <c r="M43" s="11" t="str">
        <f>IF(OR(L43&gt;=척도!$B$17,AND(I43&gt;=척도!$B$19,L43&gt;=척도!$B$18)),"높음",IF(L43&gt;=척도!$B$18,"중간","낮음"))</f>
        <v>중간</v>
      </c>
      <c r="N43" s="12" t="inlineStr">
        <is>
          <t>모바일 EMR 요약 화면</t>
        </is>
      </c>
      <c r="O43" s="13" t="inlineStr"/>
      <c r="P43" s="13" t="inlineStr"/>
      <c r="Q43" s="12" t="inlineStr"/>
    </row>
    <row r="44">
      <c r="A44" s="9" t="inlineStr">
        <is>
          <t>6.1.1</t>
        </is>
      </c>
      <c r="B44" s="6" t="inlineStr">
        <is>
          <t>6 장비·약품 관리</t>
        </is>
      </c>
      <c r="C44" s="6" t="inlineStr">
        <is>
          <t>6.1 응급카트</t>
        </is>
      </c>
      <c r="D44" s="6" t="inlineStr">
        <is>
          <t>약품</t>
        </is>
      </c>
      <c r="E44" s="6" t="inlineStr">
        <is>
          <t>유효기간 경과·부족</t>
        </is>
      </c>
      <c r="F44" s="6" t="inlineStr">
        <is>
          <t>필수 약물 사용 불가</t>
        </is>
      </c>
      <c r="G44" s="6" t="inlineStr">
        <is>
          <t>점검 주기 불이행, 사용 후 재보충 지연</t>
        </is>
      </c>
      <c r="H44" s="6" t="inlineStr">
        <is>
          <t>월 점검</t>
        </is>
      </c>
      <c r="I44" s="10" t="n">
        <v>9</v>
      </c>
      <c r="J44" s="10" t="n">
        <v>5</v>
      </c>
      <c r="K44" s="10" t="n">
        <v>5</v>
      </c>
      <c r="L44" s="11">
        <f>I44*J44*K44</f>
        <v>225</v>
      </c>
      <c r="M44" s="11" t="str">
        <f>IF(OR(L44&gt;=척도!$B$17,AND(I44&gt;=척도!$B$19,L44&gt;=척도!$B$18)),"높음",IF(L44&gt;=척도!$B$18,"중간","낮음"))</f>
        <v>중간</v>
      </c>
      <c r="N44" s="12" t="inlineStr">
        <is>
          <t>약제부 정기 교체 + 봉인 번호 관리</t>
        </is>
      </c>
      <c r="O44" s="13" t="inlineStr"/>
      <c r="P44" s="13" t="inlineStr"/>
      <c r="Q44" s="12" t="inlineStr"/>
    </row>
    <row r="45">
      <c r="A45" s="9" t="inlineStr">
        <is>
          <t>6.1.2</t>
        </is>
      </c>
      <c r="B45" s="6" t="inlineStr">
        <is>
          <t>6 장비·약품 관리</t>
        </is>
      </c>
      <c r="C45" s="6" t="inlineStr">
        <is>
          <t>6.1 응급카트</t>
        </is>
      </c>
      <c r="D45" s="6" t="inlineStr">
        <is>
          <t>구성</t>
        </is>
      </c>
      <c r="E45" s="6" t="inlineStr">
        <is>
          <t>부서별 카트 구성 상이</t>
        </is>
      </c>
      <c r="F45" s="6" t="inlineStr">
        <is>
          <t>찾는 시간 지연·혼선</t>
        </is>
      </c>
      <c r="G45" s="6" t="inlineStr">
        <is>
          <t>표준 목록 부재</t>
        </is>
      </c>
      <c r="H45" s="6" t="inlineStr">
        <is>
          <t>부서 자체 구성</t>
        </is>
      </c>
      <c r="I45" s="10" t="n">
        <v>7</v>
      </c>
      <c r="J45" s="10" t="n">
        <v>6</v>
      </c>
      <c r="K45" s="10" t="n">
        <v>5</v>
      </c>
      <c r="L45" s="11">
        <f>I45*J45*K45</f>
        <v>210</v>
      </c>
      <c r="M45" s="11" t="str">
        <f>IF(OR(L45&gt;=척도!$B$17,AND(I45&gt;=척도!$B$19,L45&gt;=척도!$B$18)),"높음",IF(L45&gt;=척도!$B$18,"중간","낮음"))</f>
        <v>중간</v>
      </c>
      <c r="N45" s="12" t="inlineStr">
        <is>
          <t>원내 표준 카트 구성·배치 통일</t>
        </is>
      </c>
      <c r="O45" s="13" t="inlineStr"/>
      <c r="P45" s="13" t="inlineStr"/>
      <c r="Q45" s="12" t="inlineStr"/>
    </row>
    <row r="46">
      <c r="A46" s="9" t="inlineStr">
        <is>
          <t>6.1.3</t>
        </is>
      </c>
      <c r="B46" s="6" t="inlineStr">
        <is>
          <t>6 장비·약품 관리</t>
        </is>
      </c>
      <c r="C46" s="6" t="inlineStr">
        <is>
          <t>6.1 응급카트</t>
        </is>
      </c>
      <c r="D46" s="6" t="inlineStr">
        <is>
          <t>봉인</t>
        </is>
      </c>
      <c r="E46" s="6" t="inlineStr">
        <is>
          <t>봉인 훼손 후 미확인</t>
        </is>
      </c>
      <c r="F46" s="6" t="inlineStr">
        <is>
          <t>내용물 부족 상태 방치</t>
        </is>
      </c>
      <c r="G46" s="6" t="inlineStr">
        <is>
          <t>점검 기록 형식적</t>
        </is>
      </c>
      <c r="H46" s="6" t="inlineStr">
        <is>
          <t>일일 점검</t>
        </is>
      </c>
      <c r="I46" s="10" t="n">
        <v>8</v>
      </c>
      <c r="J46" s="10" t="n">
        <v>5</v>
      </c>
      <c r="K46" s="10" t="n">
        <v>6</v>
      </c>
      <c r="L46" s="11">
        <f>I46*J46*K46</f>
        <v>240</v>
      </c>
      <c r="M46" s="11" t="str">
        <f>IF(OR(L46&gt;=척도!$B$17,AND(I46&gt;=척도!$B$19,L46&gt;=척도!$B$18)),"높음",IF(L46&gt;=척도!$B$18,"중간","낮음"))</f>
        <v>중간</v>
      </c>
      <c r="N46" s="12" t="inlineStr">
        <is>
          <t>봉인 번호 기록, 무작위 감사</t>
        </is>
      </c>
      <c r="O46" s="13" t="inlineStr"/>
      <c r="P46" s="13" t="inlineStr"/>
      <c r="Q46" s="12" t="inlineStr"/>
    </row>
    <row r="47">
      <c r="A47" s="9" t="inlineStr">
        <is>
          <t>6.2.1</t>
        </is>
      </c>
      <c r="B47" s="6" t="inlineStr">
        <is>
          <t>6 장비·약품 관리</t>
        </is>
      </c>
      <c r="C47" s="6" t="inlineStr">
        <is>
          <t>6.2 제세동기·흡인기·산소</t>
        </is>
      </c>
      <c r="D47" s="6" t="inlineStr">
        <is>
          <t>상태</t>
        </is>
      </c>
      <c r="E47" s="6" t="inlineStr">
        <is>
          <t>고장·배터리 방전·소모품 부족</t>
        </is>
      </c>
      <c r="F47" s="6" t="inlineStr">
        <is>
          <t>장비 사용 불가</t>
        </is>
      </c>
      <c r="G47" s="6" t="inlineStr">
        <is>
          <t>예방 정비 부재, 일일 테스트 누락, 노후</t>
        </is>
      </c>
      <c r="H47" s="6" t="inlineStr">
        <is>
          <t>일일 점검</t>
        </is>
      </c>
      <c r="I47" s="10" t="n">
        <v>10</v>
      </c>
      <c r="J47" s="10" t="n">
        <v>4</v>
      </c>
      <c r="K47" s="10" t="n">
        <v>5</v>
      </c>
      <c r="L47" s="11">
        <f>I47*J47*K47</f>
        <v>200</v>
      </c>
      <c r="M47" s="11" t="str">
        <f>IF(OR(L47&gt;=척도!$B$17,AND(I47&gt;=척도!$B$19,L47&gt;=척도!$B$18)),"높음",IF(L47&gt;=척도!$B$18,"중간","낮음"))</f>
        <v>높음</v>
      </c>
      <c r="N47" s="12" t="inlineStr">
        <is>
          <t>예방정비·노후 교체 계획</t>
        </is>
      </c>
      <c r="O47" s="13" t="inlineStr"/>
      <c r="P47" s="13" t="inlineStr"/>
      <c r="Q47" s="12" t="inlineStr"/>
    </row>
    <row r="48">
      <c r="A48" s="9" t="inlineStr">
        <is>
          <t>6.2.2</t>
        </is>
      </c>
      <c r="B48" s="6" t="inlineStr">
        <is>
          <t>6 장비·약품 관리</t>
        </is>
      </c>
      <c r="C48" s="6" t="inlineStr">
        <is>
          <t>6.2 제세동기·흡인기·산소</t>
        </is>
      </c>
      <c r="D48" s="6" t="inlineStr">
        <is>
          <t>기종</t>
        </is>
      </c>
      <c r="E48" s="6" t="inlineStr">
        <is>
          <t>기종 혼재로 조작 오류</t>
        </is>
      </c>
      <c r="F48" s="6" t="inlineStr">
        <is>
          <t>제세동 지연</t>
        </is>
      </c>
      <c r="G48" s="6" t="inlineStr">
        <is>
          <t>구매 비표준화, 순환 근무</t>
        </is>
      </c>
      <c r="H48" s="6" t="inlineStr">
        <is>
          <t>교육</t>
        </is>
      </c>
      <c r="I48" s="10" t="n">
        <v>9</v>
      </c>
      <c r="J48" s="10" t="n">
        <v>5</v>
      </c>
      <c r="K48" s="10" t="n">
        <v>6</v>
      </c>
      <c r="L48" s="11">
        <f>I48*J48*K48</f>
        <v>270</v>
      </c>
      <c r="M48" s="11" t="str">
        <f>IF(OR(L48&gt;=척도!$B$17,AND(I48&gt;=척도!$B$19,L48&gt;=척도!$B$18)),"높음",IF(L48&gt;=척도!$B$18,"중간","낮음"))</f>
        <v>중간</v>
      </c>
      <c r="N48" s="12" t="inlineStr">
        <is>
          <t>기종 통일·기종별 실습</t>
        </is>
      </c>
      <c r="O48" s="13" t="inlineStr"/>
      <c r="P48" s="13" t="inlineStr"/>
      <c r="Q48" s="12" t="inlineStr"/>
    </row>
    <row r="49">
      <c r="A49" s="9" t="inlineStr">
        <is>
          <t>6.3.1</t>
        </is>
      </c>
      <c r="B49" s="6" t="inlineStr">
        <is>
          <t>6 장비·약품 관리</t>
        </is>
      </c>
      <c r="C49" s="6" t="inlineStr">
        <is>
          <t>6.3 접근성</t>
        </is>
      </c>
      <c r="D49" s="6" t="inlineStr">
        <is>
          <t>위치</t>
        </is>
      </c>
      <c r="E49" s="6" t="inlineStr">
        <is>
          <t>장비가 위치에 없음·접근 불가</t>
        </is>
      </c>
      <c r="F49" s="6" t="inlineStr">
        <is>
          <t>처치 지연</t>
        </is>
      </c>
      <c r="G49" s="6" t="inlineStr">
        <is>
          <t>복도 적치물, 보관 위치 부적절, 잠긴 방</t>
        </is>
      </c>
      <c r="H49" s="6" t="inlineStr">
        <is>
          <t>배치 규정</t>
        </is>
      </c>
      <c r="I49" s="10" t="n">
        <v>9</v>
      </c>
      <c r="J49" s="10" t="n">
        <v>5</v>
      </c>
      <c r="K49" s="10" t="n">
        <v>5</v>
      </c>
      <c r="L49" s="11">
        <f>I49*J49*K49</f>
        <v>225</v>
      </c>
      <c r="M49" s="11" t="str">
        <f>IF(OR(L49&gt;=척도!$B$17,AND(I49&gt;=척도!$B$19,L49&gt;=척도!$B$18)),"높음",IF(L49&gt;=척도!$B$18,"중간","낮음"))</f>
        <v>중간</v>
      </c>
      <c r="N49" s="12" t="inlineStr">
        <is>
          <t>배치 위치 표시·감사</t>
        </is>
      </c>
      <c r="O49" s="13" t="inlineStr"/>
      <c r="P49" s="13" t="inlineStr"/>
      <c r="Q49" s="12" t="inlineStr"/>
    </row>
    <row r="50">
      <c r="A50" s="9" t="inlineStr">
        <is>
          <t>6.3.2</t>
        </is>
      </c>
      <c r="B50" s="6" t="inlineStr">
        <is>
          <t>6 장비·약품 관리</t>
        </is>
      </c>
      <c r="C50" s="6" t="inlineStr">
        <is>
          <t>6.3 접근성</t>
        </is>
      </c>
      <c r="D50" s="6" t="inlineStr">
        <is>
          <t>소아</t>
        </is>
      </c>
      <c r="E50" s="6" t="inlineStr">
        <is>
          <t>소아·신생아용 장비 부재</t>
        </is>
      </c>
      <c r="F50" s="6" t="inlineStr">
        <is>
          <t>소아 환자 부적절 처치</t>
        </is>
      </c>
      <c r="G50" s="6" t="inlineStr">
        <is>
          <t>소아 비상주 구역 미비</t>
        </is>
      </c>
      <c r="H50" s="6" t="inlineStr">
        <is>
          <t>없음</t>
        </is>
      </c>
      <c r="I50" s="10" t="n">
        <v>9</v>
      </c>
      <c r="J50" s="10" t="n">
        <v>4</v>
      </c>
      <c r="K50" s="10" t="n">
        <v>6</v>
      </c>
      <c r="L50" s="11">
        <f>I50*J50*K50</f>
        <v>216</v>
      </c>
      <c r="M50" s="11" t="str">
        <f>IF(OR(L50&gt;=척도!$B$17,AND(I50&gt;=척도!$B$19,L50&gt;=척도!$B$18)),"높음",IF(L50&gt;=척도!$B$18,"중간","낮음"))</f>
        <v>중간</v>
      </c>
      <c r="N50" s="12" t="inlineStr">
        <is>
          <t>전 구역 소아 장비·용량표 비치</t>
        </is>
      </c>
      <c r="O50" s="13" t="inlineStr"/>
      <c r="P50" s="13" t="inlineStr"/>
      <c r="Q50" s="12" t="inlineStr"/>
    </row>
    <row r="51">
      <c r="A51" s="9" t="inlineStr">
        <is>
          <t>7.1.1</t>
        </is>
      </c>
      <c r="B51" s="6" t="inlineStr">
        <is>
          <t>7 의사소통·기록</t>
        </is>
      </c>
      <c r="C51" s="6" t="inlineStr">
        <is>
          <t>7.1 팀 의사소통</t>
        </is>
      </c>
      <c r="D51" s="6" t="inlineStr">
        <is>
          <t>지시 전달</t>
        </is>
      </c>
      <c r="E51" s="6" t="inlineStr">
        <is>
          <t>지시 미전달·오해</t>
        </is>
      </c>
      <c r="F51" s="6" t="inlineStr">
        <is>
          <t>처치 오류</t>
        </is>
      </c>
      <c r="G51" s="6" t="inlineStr">
        <is>
          <t>폐쇄형 의사소통 미실시, 소음</t>
        </is>
      </c>
      <c r="H51" s="6" t="inlineStr">
        <is>
          <t>교육</t>
        </is>
      </c>
      <c r="I51" s="10" t="n">
        <v>8</v>
      </c>
      <c r="J51" s="10" t="n">
        <v>6</v>
      </c>
      <c r="K51" s="10" t="n">
        <v>6</v>
      </c>
      <c r="L51" s="11">
        <f>I51*J51*K51</f>
        <v>288</v>
      </c>
      <c r="M51" s="11" t="str">
        <f>IF(OR(L51&gt;=척도!$B$17,AND(I51&gt;=척도!$B$19,L51&gt;=척도!$B$18)),"높음",IF(L51&gt;=척도!$B$18,"중간","낮음"))</f>
        <v>중간</v>
      </c>
      <c r="N51" s="12" t="inlineStr">
        <is>
          <t>closed-loop 복창 훈련</t>
        </is>
      </c>
      <c r="O51" s="13" t="inlineStr"/>
      <c r="P51" s="13" t="inlineStr"/>
      <c r="Q51" s="12" t="inlineStr"/>
    </row>
    <row r="52">
      <c r="A52" s="9" t="inlineStr">
        <is>
          <t>7.1.2</t>
        </is>
      </c>
      <c r="B52" s="6" t="inlineStr">
        <is>
          <t>7 의사소통·기록</t>
        </is>
      </c>
      <c r="C52" s="6" t="inlineStr">
        <is>
          <t>7.1 팀 의사소통</t>
        </is>
      </c>
      <c r="D52" s="6" t="inlineStr">
        <is>
          <t>구두 처방</t>
        </is>
      </c>
      <c r="E52" s="6" t="inlineStr">
        <is>
          <t>복창 누락</t>
        </is>
      </c>
      <c r="F52" s="6" t="inlineStr">
        <is>
          <t>약물 오류</t>
        </is>
      </c>
      <c r="G52" s="6" t="inlineStr">
        <is>
          <t>긴급 상황이라는 인식</t>
        </is>
      </c>
      <c r="H52" s="6" t="inlineStr">
        <is>
          <t>복창 규정</t>
        </is>
      </c>
      <c r="I52" s="10" t="n">
        <v>9</v>
      </c>
      <c r="J52" s="10" t="n">
        <v>6</v>
      </c>
      <c r="K52" s="10" t="n">
        <v>6</v>
      </c>
      <c r="L52" s="11">
        <f>I52*J52*K52</f>
        <v>324</v>
      </c>
      <c r="M52" s="11" t="str">
        <f>IF(OR(L52&gt;=척도!$B$17,AND(I52&gt;=척도!$B$19,L52&gt;=척도!$B$18)),"높음",IF(L52&gt;=척도!$B$18,"중간","낮음"))</f>
        <v>높음</v>
      </c>
      <c r="N52" s="12" t="inlineStr">
        <is>
          <t>복창 모니터링</t>
        </is>
      </c>
      <c r="O52" s="13" t="inlineStr"/>
      <c r="P52" s="13" t="inlineStr"/>
      <c r="Q52" s="12" t="inlineStr"/>
    </row>
    <row r="53">
      <c r="A53" s="9" t="inlineStr">
        <is>
          <t>7.2.1</t>
        </is>
      </c>
      <c r="B53" s="6" t="inlineStr">
        <is>
          <t>7 의사소통·기록</t>
        </is>
      </c>
      <c r="C53" s="6" t="inlineStr">
        <is>
          <t>7.2 기록</t>
        </is>
      </c>
      <c r="D53" s="6" t="inlineStr">
        <is>
          <t>기록</t>
        </is>
      </c>
      <c r="E53" s="6" t="inlineStr">
        <is>
          <t>시간·약물·제세동 기록 누락·부정확</t>
        </is>
      </c>
      <c r="F53" s="6" t="inlineStr">
        <is>
          <t>질 평가·법적 증빙 어려움</t>
        </is>
      </c>
      <c r="G53" s="6" t="inlineStr">
        <is>
          <t>전담 기록자 부재, 사후 기억에 의존</t>
        </is>
      </c>
      <c r="H53" s="6" t="inlineStr">
        <is>
          <t>기록지</t>
        </is>
      </c>
      <c r="I53" s="10" t="n">
        <v>6</v>
      </c>
      <c r="J53" s="10" t="n">
        <v>7</v>
      </c>
      <c r="K53" s="10" t="n">
        <v>6</v>
      </c>
      <c r="L53" s="11">
        <f>I53*J53*K53</f>
        <v>252</v>
      </c>
      <c r="M53" s="11" t="str">
        <f>IF(OR(L53&gt;=척도!$B$17,AND(I53&gt;=척도!$B$19,L53&gt;=척도!$B$18)),"높음",IF(L53&gt;=척도!$B$18,"중간","낮음"))</f>
        <v>중간</v>
      </c>
      <c r="N53" s="12" t="inlineStr">
        <is>
          <t>전담 기록자·전자 기록 도입</t>
        </is>
      </c>
      <c r="O53" s="13" t="inlineStr"/>
      <c r="P53" s="13" t="inlineStr"/>
      <c r="Q53" s="12" t="inlineStr"/>
    </row>
    <row r="54">
      <c r="A54" s="9" t="inlineStr">
        <is>
          <t>7.2.2</t>
        </is>
      </c>
      <c r="B54" s="6" t="inlineStr">
        <is>
          <t>7 의사소통·기록</t>
        </is>
      </c>
      <c r="C54" s="6" t="inlineStr">
        <is>
          <t>7.2 기록</t>
        </is>
      </c>
      <c r="D54" s="6" t="inlineStr">
        <is>
          <t>장비 로그</t>
        </is>
      </c>
      <c r="E54" s="6" t="inlineStr">
        <is>
          <t>기록지와 장비 로그 불일치</t>
        </is>
      </c>
      <c r="F54" s="6" t="inlineStr">
        <is>
          <t>데이터 신뢰도 저하</t>
        </is>
      </c>
      <c r="G54" s="6" t="inlineStr">
        <is>
          <t>장비 시계 불일치</t>
        </is>
      </c>
      <c r="H54" s="6" t="inlineStr">
        <is>
          <t>없음</t>
        </is>
      </c>
      <c r="I54" s="10" t="n">
        <v>5</v>
      </c>
      <c r="J54" s="10" t="n">
        <v>6</v>
      </c>
      <c r="K54" s="10" t="n">
        <v>6</v>
      </c>
      <c r="L54" s="11">
        <f>I54*J54*K54</f>
        <v>180</v>
      </c>
      <c r="M54" s="11" t="str">
        <f>IF(OR(L54&gt;=척도!$B$17,AND(I54&gt;=척도!$B$19,L54&gt;=척도!$B$18)),"높음",IF(L54&gt;=척도!$B$18,"중간","낮음"))</f>
        <v>낮음</v>
      </c>
      <c r="N54" s="12" t="inlineStr">
        <is>
          <t>장비 시간 동기화</t>
        </is>
      </c>
      <c r="O54" s="13" t="inlineStr"/>
      <c r="P54" s="13" t="inlineStr"/>
      <c r="Q54" s="12" t="inlineStr"/>
    </row>
    <row r="55">
      <c r="A55" s="9" t="inlineStr">
        <is>
          <t>7.3.1</t>
        </is>
      </c>
      <c r="B55" s="6" t="inlineStr">
        <is>
          <t>7 의사소통·기록</t>
        </is>
      </c>
      <c r="C55" s="6" t="inlineStr">
        <is>
          <t>7.3 보호자 소통</t>
        </is>
      </c>
      <c r="D55" s="6" t="inlineStr">
        <is>
          <t>고지</t>
        </is>
      </c>
      <c r="E55" s="6" t="inlineStr">
        <is>
          <t>보호자 고지 지연·부적절</t>
        </is>
      </c>
      <c r="F55" s="6" t="inlineStr">
        <is>
          <t>민원·신뢰 저하</t>
        </is>
      </c>
      <c r="G55" s="6" t="inlineStr">
        <is>
          <t>담당자 미지정, 소통 훈련 부족</t>
        </is>
      </c>
      <c r="H55" s="6" t="inlineStr">
        <is>
          <t>없음</t>
        </is>
      </c>
      <c r="I55" s="10" t="n">
        <v>6</v>
      </c>
      <c r="J55" s="10" t="n">
        <v>6</v>
      </c>
      <c r="K55" s="10" t="n">
        <v>5</v>
      </c>
      <c r="L55" s="11">
        <f>I55*J55*K55</f>
        <v>180</v>
      </c>
      <c r="M55" s="11" t="str">
        <f>IF(OR(L55&gt;=척도!$B$17,AND(I55&gt;=척도!$B$19,L55&gt;=척도!$B$18)),"높음",IF(L55&gt;=척도!$B$18,"중간","낮음"))</f>
        <v>낮음</v>
      </c>
      <c r="N55" s="12" t="inlineStr">
        <is>
          <t>고지 담당자·지침 마련</t>
        </is>
      </c>
      <c r="O55" s="13" t="inlineStr"/>
      <c r="P55" s="13" t="inlineStr"/>
      <c r="Q55" s="12" t="inlineStr"/>
    </row>
    <row r="56">
      <c r="A56" s="9" t="inlineStr">
        <is>
          <t>8.1.1</t>
        </is>
      </c>
      <c r="B56" s="6" t="inlineStr">
        <is>
          <t>8 소생 후 치료·이송</t>
        </is>
      </c>
      <c r="C56" s="6" t="inlineStr">
        <is>
          <t>8.1 ROSC 후 안정화</t>
        </is>
      </c>
      <c r="D56" s="6" t="inlineStr">
        <is>
          <t>목표 관리</t>
        </is>
      </c>
      <c r="E56" s="6" t="inlineStr">
        <is>
          <t>혈압·산소·환기 목표 미달</t>
        </is>
      </c>
      <c r="F56" s="6" t="inlineStr">
        <is>
          <t>재정지·신경학적 손상</t>
        </is>
      </c>
      <c r="G56" s="6" t="inlineStr">
        <is>
          <t>소생 후 프로토콜 부재</t>
        </is>
      </c>
      <c r="H56" s="6" t="inlineStr">
        <is>
          <t>의사 판단</t>
        </is>
      </c>
      <c r="I56" s="10" t="n">
        <v>9</v>
      </c>
      <c r="J56" s="10" t="n">
        <v>6</v>
      </c>
      <c r="K56" s="10" t="n">
        <v>6</v>
      </c>
      <c r="L56" s="11">
        <f>I56*J56*K56</f>
        <v>324</v>
      </c>
      <c r="M56" s="11" t="str">
        <f>IF(OR(L56&gt;=척도!$B$17,AND(I56&gt;=척도!$B$19,L56&gt;=척도!$B$18)),"높음",IF(L56&gt;=척도!$B$18,"중간","낮음"))</f>
        <v>높음</v>
      </c>
      <c r="N56" s="12" t="inlineStr">
        <is>
          <t>소생 후 치료 번들 도입</t>
        </is>
      </c>
      <c r="O56" s="13" t="inlineStr"/>
      <c r="P56" s="13" t="inlineStr"/>
      <c r="Q56" s="12" t="inlineStr"/>
    </row>
    <row r="57">
      <c r="A57" s="9" t="inlineStr">
        <is>
          <t>8.1.2</t>
        </is>
      </c>
      <c r="B57" s="6" t="inlineStr">
        <is>
          <t>8 소생 후 치료·이송</t>
        </is>
      </c>
      <c r="C57" s="6" t="inlineStr">
        <is>
          <t>8.1 ROSC 후 안정화</t>
        </is>
      </c>
      <c r="D57" s="6" t="inlineStr">
        <is>
          <t>원인 검사</t>
        </is>
      </c>
      <c r="E57" s="6" t="inlineStr">
        <is>
          <t>12유도 ECG·원인 검사 지연</t>
        </is>
      </c>
      <c r="F57" s="6" t="inlineStr">
        <is>
          <t>원인 치료 지연</t>
        </is>
      </c>
      <c r="G57" s="6" t="inlineStr">
        <is>
          <t>장비·인력 대기</t>
        </is>
      </c>
      <c r="H57" s="6" t="inlineStr">
        <is>
          <t>의사 판단</t>
        </is>
      </c>
      <c r="I57" s="10" t="n">
        <v>9</v>
      </c>
      <c r="J57" s="10" t="n">
        <v>5</v>
      </c>
      <c r="K57" s="10" t="n">
        <v>6</v>
      </c>
      <c r="L57" s="11">
        <f>I57*J57*K57</f>
        <v>270</v>
      </c>
      <c r="M57" s="11" t="str">
        <f>IF(OR(L57&gt;=척도!$B$17,AND(I57&gt;=척도!$B$19,L57&gt;=척도!$B$18)),"높음",IF(L57&gt;=척도!$B$18,"중간","낮음"))</f>
        <v>중간</v>
      </c>
      <c r="N57" s="12" t="inlineStr">
        <is>
          <t>시간 목표와 심혈관중재팀 연계</t>
        </is>
      </c>
      <c r="O57" s="13" t="inlineStr"/>
      <c r="P57" s="13" t="inlineStr"/>
      <c r="Q57" s="12" t="inlineStr"/>
    </row>
    <row r="58">
      <c r="A58" s="9" t="inlineStr">
        <is>
          <t>8.2.1</t>
        </is>
      </c>
      <c r="B58" s="6" t="inlineStr">
        <is>
          <t>8 소생 후 치료·이송</t>
        </is>
      </c>
      <c r="C58" s="6" t="inlineStr">
        <is>
          <t>8.2 TTM</t>
        </is>
      </c>
      <c r="D58" s="6" t="inlineStr">
        <is>
          <t>적용</t>
        </is>
      </c>
      <c r="E58" s="6" t="inlineStr">
        <is>
          <t>TTM 미적용·지연</t>
        </is>
      </c>
      <c r="F58" s="6" t="inlineStr">
        <is>
          <t>신경학적 예후 악화</t>
        </is>
      </c>
      <c r="G58" s="6" t="inlineStr">
        <is>
          <t>기준 불명확, 장비 부족</t>
        </is>
      </c>
      <c r="H58" s="6" t="inlineStr">
        <is>
          <t>없음</t>
        </is>
      </c>
      <c r="I58" s="10" t="n">
        <v>8</v>
      </c>
      <c r="J58" s="10" t="n">
        <v>6</v>
      </c>
      <c r="K58" s="10" t="n">
        <v>6</v>
      </c>
      <c r="L58" s="11">
        <f>I58*J58*K58</f>
        <v>288</v>
      </c>
      <c r="M58" s="11" t="str">
        <f>IF(OR(L58&gt;=척도!$B$17,AND(I58&gt;=척도!$B$19,L58&gt;=척도!$B$18)),"높음",IF(L58&gt;=척도!$B$18,"중간","낮음"))</f>
        <v>중간</v>
      </c>
      <c r="N58" s="12" t="inlineStr">
        <is>
          <t>적용 기준·장비 확보</t>
        </is>
      </c>
      <c r="O58" s="13" t="inlineStr"/>
      <c r="P58" s="13" t="inlineStr"/>
      <c r="Q58" s="12" t="inlineStr"/>
    </row>
    <row r="59">
      <c r="A59" s="9" t="inlineStr">
        <is>
          <t>8.3.1</t>
        </is>
      </c>
      <c r="B59" s="6" t="inlineStr">
        <is>
          <t>8 소생 후 치료·이송</t>
        </is>
      </c>
      <c r="C59" s="6" t="inlineStr">
        <is>
          <t>8.3 이송</t>
        </is>
      </c>
      <c r="D59" s="6" t="inlineStr">
        <is>
          <t>병상</t>
        </is>
      </c>
      <c r="E59" s="6" t="inlineStr">
        <is>
          <t>중환자실 병상 부족으로 이송 지연</t>
        </is>
      </c>
      <c r="F59" s="6" t="inlineStr">
        <is>
          <t>소생 후 관리 저하</t>
        </is>
      </c>
      <c r="G59" s="6" t="inlineStr">
        <is>
          <t>병상 포화</t>
        </is>
      </c>
      <c r="H59" s="6" t="inlineStr">
        <is>
          <t>병상 회의</t>
        </is>
      </c>
      <c r="I59" s="10" t="n">
        <v>8</v>
      </c>
      <c r="J59" s="10" t="n">
        <v>6</v>
      </c>
      <c r="K59" s="10" t="n">
        <v>5</v>
      </c>
      <c r="L59" s="11">
        <f>I59*J59*K59</f>
        <v>240</v>
      </c>
      <c r="M59" s="11" t="str">
        <f>IF(OR(L59&gt;=척도!$B$17,AND(I59&gt;=척도!$B$19,L59&gt;=척도!$B$18)),"높음",IF(L59&gt;=척도!$B$18,"중간","낮음"))</f>
        <v>중간</v>
      </c>
      <c r="N59" s="12" t="inlineStr">
        <is>
          <t>소생 후 병상 우선 배정</t>
        </is>
      </c>
      <c r="O59" s="13" t="inlineStr"/>
      <c r="P59" s="13" t="inlineStr"/>
      <c r="Q59" s="12" t="inlineStr"/>
    </row>
    <row r="60">
      <c r="A60" s="9" t="inlineStr">
        <is>
          <t>8.3.2</t>
        </is>
      </c>
      <c r="B60" s="6" t="inlineStr">
        <is>
          <t>8 소생 후 치료·이송</t>
        </is>
      </c>
      <c r="C60" s="6" t="inlineStr">
        <is>
          <t>8.3 이송</t>
        </is>
      </c>
      <c r="D60" s="6" t="inlineStr">
        <is>
          <t>이송 중</t>
        </is>
      </c>
      <c r="E60" s="6" t="inlineStr">
        <is>
          <t>재정지·장비 이탈</t>
        </is>
      </c>
      <c r="F60" s="6" t="inlineStr">
        <is>
          <t>이송 중 악화</t>
        </is>
      </c>
      <c r="G60" s="6" t="inlineStr">
        <is>
          <t>동반 인력·모니터·산소 부족, 인수인계 누락</t>
        </is>
      </c>
      <c r="H60" s="6" t="inlineStr">
        <is>
          <t>없음</t>
        </is>
      </c>
      <c r="I60" s="10" t="n">
        <v>9</v>
      </c>
      <c r="J60" s="10" t="n">
        <v>5</v>
      </c>
      <c r="K60" s="10" t="n">
        <v>6</v>
      </c>
      <c r="L60" s="11">
        <f>I60*J60*K60</f>
        <v>270</v>
      </c>
      <c r="M60" s="11" t="str">
        <f>IF(OR(L60&gt;=척도!$B$17,AND(I60&gt;=척도!$B$19,L60&gt;=척도!$B$18)),"높음",IF(L60&gt;=척도!$B$18,"중간","낮음"))</f>
        <v>중간</v>
      </c>
      <c r="N60" s="12" t="inlineStr">
        <is>
          <t>이송 체크리스트·인수인계 표준</t>
        </is>
      </c>
      <c r="O60" s="13" t="inlineStr"/>
      <c r="P60" s="13" t="inlineStr"/>
      <c r="Q60" s="12" t="inlineStr"/>
    </row>
    <row r="61">
      <c r="A61" s="9" t="inlineStr">
        <is>
          <t>8.4.1</t>
        </is>
      </c>
      <c r="B61" s="6" t="inlineStr">
        <is>
          <t>8 소생 후 치료·이송</t>
        </is>
      </c>
      <c r="C61" s="6" t="inlineStr">
        <is>
          <t>8.4 소생 중단 판단</t>
        </is>
      </c>
      <c r="D61" s="6" t="inlineStr">
        <is>
          <t>판단</t>
        </is>
      </c>
      <c r="E61" s="6" t="inlineStr">
        <is>
          <t>시기 부적절한 중단 또는 과도한 지속</t>
        </is>
      </c>
      <c r="F61" s="6" t="inlineStr">
        <is>
          <t>윤리 문제</t>
        </is>
      </c>
      <c r="G61" s="6" t="inlineStr">
        <is>
          <t>판단 기준 부재, 가족 의사 미확인</t>
        </is>
      </c>
      <c r="H61" s="6" t="inlineStr">
        <is>
          <t>리더 판단</t>
        </is>
      </c>
      <c r="I61" s="10" t="n">
        <v>8</v>
      </c>
      <c r="J61" s="10" t="n">
        <v>5</v>
      </c>
      <c r="K61" s="10" t="n">
        <v>6</v>
      </c>
      <c r="L61" s="11">
        <f>I61*J61*K61</f>
        <v>240</v>
      </c>
      <c r="M61" s="11" t="str">
        <f>IF(OR(L61&gt;=척도!$B$17,AND(I61&gt;=척도!$B$19,L61&gt;=척도!$B$18)),"높음",IF(L61&gt;=척도!$B$18,"중간","낮음"))</f>
        <v>중간</v>
      </c>
      <c r="N61" s="12" t="inlineStr">
        <is>
          <t>종료 기준·가족 소통 지침</t>
        </is>
      </c>
      <c r="O61" s="13" t="inlineStr"/>
      <c r="P61" s="13" t="inlineStr"/>
      <c r="Q61" s="12" t="inlineStr"/>
    </row>
    <row r="62">
      <c r="A62" s="9" t="inlineStr">
        <is>
          <t>9.3.1</t>
        </is>
      </c>
      <c r="B62" s="6" t="inlineStr">
        <is>
          <t>9 교육·훈련·질 관리</t>
        </is>
      </c>
      <c r="C62" s="6" t="inlineStr">
        <is>
          <t>9.3 사후 검토·데이터 환류</t>
        </is>
      </c>
      <c r="D62" s="6" t="inlineStr">
        <is>
          <t>Debriefing</t>
        </is>
      </c>
      <c r="E62" s="6" t="inlineStr">
        <is>
          <t>미시행</t>
        </is>
      </c>
      <c r="F62" s="6" t="inlineStr">
        <is>
          <t>개선 기회 상실</t>
        </is>
      </c>
      <c r="G62" s="6" t="inlineStr">
        <is>
          <t>시간 부족, 비난 우려, 담당자 미지정</t>
        </is>
      </c>
      <c r="H62" s="6" t="inlineStr">
        <is>
          <t>없음</t>
        </is>
      </c>
      <c r="I62" s="10" t="n">
        <v>6</v>
      </c>
      <c r="J62" s="10" t="n">
        <v>8</v>
      </c>
      <c r="K62" s="10" t="n">
        <v>7</v>
      </c>
      <c r="L62" s="11">
        <f>I62*J62*K62</f>
        <v>336</v>
      </c>
      <c r="M62" s="11" t="str">
        <f>IF(OR(L62&gt;=척도!$B$17,AND(I62&gt;=척도!$B$19,L62&gt;=척도!$B$18)),"높음",IF(L62&gt;=척도!$B$18,"중간","낮음"))</f>
        <v>높음</v>
      </c>
      <c r="N62" s="12" t="inlineStr">
        <is>
          <t>모든 코드 후 10분 hot debriefing 의무화</t>
        </is>
      </c>
      <c r="O62" s="13" t="inlineStr"/>
      <c r="P62" s="13" t="inlineStr"/>
      <c r="Q62" s="12" t="inlineStr"/>
    </row>
    <row r="63">
      <c r="A63" s="9" t="inlineStr">
        <is>
          <t>9.3.2</t>
        </is>
      </c>
      <c r="B63" s="6" t="inlineStr">
        <is>
          <t>9 교육·훈련·질 관리</t>
        </is>
      </c>
      <c r="C63" s="6" t="inlineStr">
        <is>
          <t>9.3 사후 검토·데이터 환류</t>
        </is>
      </c>
      <c r="D63" s="6" t="inlineStr">
        <is>
          <t>데이터 환류</t>
        </is>
      </c>
      <c r="E63" s="6" t="inlineStr">
        <is>
          <t>레지스트리·지표 미운영, 개선 환류 부재</t>
        </is>
      </c>
      <c r="F63" s="6" t="inlineStr">
        <is>
          <t>동일 문제 반복</t>
        </is>
      </c>
      <c r="G63" s="6" t="inlineStr">
        <is>
          <t>지표 미정의, 경영진 보고 체계 부재</t>
        </is>
      </c>
      <c r="H63" s="6" t="inlineStr">
        <is>
          <t>없음</t>
        </is>
      </c>
      <c r="I63" s="10" t="n">
        <v>7</v>
      </c>
      <c r="J63" s="10" t="n">
        <v>7</v>
      </c>
      <c r="K63" s="10" t="n">
        <v>7</v>
      </c>
      <c r="L63" s="11">
        <f>I63*J63*K63</f>
        <v>343</v>
      </c>
      <c r="M63" s="11" t="str">
        <f>IF(OR(L63&gt;=척도!$B$17,AND(I63&gt;=척도!$B$19,L63&gt;=척도!$B$18)),"높음",IF(L63&gt;=척도!$B$18,"중간","낮음"))</f>
        <v>높음</v>
      </c>
      <c r="N63" s="12" t="inlineStr">
        <is>
          <t>심정지 레지스트리·분기 보고</t>
        </is>
      </c>
      <c r="O63" s="13" t="inlineStr"/>
      <c r="P63" s="13" t="inlineStr"/>
      <c r="Q63" s="12" t="inlineStr"/>
    </row>
  </sheetData>
  <autoFilter ref="A4:Q63"/>
  <conditionalFormatting sqref="M5:M63">
    <cfRule type="cellIs" priority="1" operator="equal" dxfId="0">
      <formula>"높음"</formula>
    </cfRule>
    <cfRule type="cellIs" priority="2" operator="equal" dxfId="1">
      <formula>"중간"</formula>
    </cfRule>
    <cfRule type="cellIs" priority="3" operator="equal" dxfId="2">
      <formula>"낮음"</formula>
    </cfRule>
  </conditionalFormatting>
  <dataValidations count="1">
    <dataValidation sqref="I5:K63" showDropDown="0" showInputMessage="0" showErrorMessage="1" allowBlank="0" error="1~10 정수" type="whole" operator="between">
      <formula1>1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30" customWidth="1" min="5" max="5"/>
    <col width="30" customWidth="1" min="6" max="6"/>
    <col width="40" customWidth="1" min="7" max="7"/>
    <col width="30" customWidth="1" min="8" max="8"/>
    <col width="5" customWidth="1" min="9" max="9"/>
    <col width="5" customWidth="1" min="10" max="10"/>
    <col width="5" customWidth="1" min="11" max="11"/>
    <col width="7" customWidth="1" min="12" max="12"/>
    <col width="9" customWidth="1" min="13" max="13"/>
    <col width="38" customWidth="1" min="14" max="14"/>
    <col width="10" customWidth="1" min="15" max="15"/>
    <col width="11" customWidth="1" min="16" max="16"/>
    <col width="14" customWidth="1" min="17" max="17"/>
  </cols>
  <sheetData>
    <row r="1">
      <c r="A1" s="4" t="inlineStr">
        <is>
          <t>CPR FMEA 워크시트 – 9.1 교육·자격 (강화)</t>
        </is>
      </c>
    </row>
    <row r="2">
      <c r="A2" s="8" t="inlineStr">
        <is>
          <t>※ S/O/D(파란색 글자·노란 칸)는 일반적 병원 현황을 가정한 '초안 점수'입니다. 반드시 FMEA 팀 합의와 자체 데이터(지표·사건보고)로 재평가하십시오. RPN·우선순위는 자동 계산됩니다.</t>
        </is>
      </c>
    </row>
    <row r="4" ht="30" customHeight="1">
      <c r="A4" s="5" t="inlineStr">
        <is>
          <t>ID</t>
        </is>
      </c>
      <c r="B4" s="5" t="inlineStr">
        <is>
          <t>Process</t>
        </is>
      </c>
      <c r="C4" s="5" t="inlineStr">
        <is>
          <t>Subprocess</t>
        </is>
      </c>
      <c r="D4" s="5" t="inlineStr">
        <is>
          <t>세부 단계</t>
        </is>
      </c>
      <c r="E4" s="5" t="inlineStr">
        <is>
          <t>잠재적 고장 유형</t>
        </is>
      </c>
      <c r="F4" s="5" t="inlineStr">
        <is>
          <t>잠재적 영향</t>
        </is>
      </c>
      <c r="G4" s="5" t="inlineStr">
        <is>
          <t>잠재적 원인</t>
        </is>
      </c>
      <c r="H4" s="5" t="inlineStr">
        <is>
          <t>현재 관리 방법</t>
        </is>
      </c>
      <c r="I4" s="5" t="inlineStr">
        <is>
          <t>S</t>
        </is>
      </c>
      <c r="J4" s="5" t="inlineStr">
        <is>
          <t>O</t>
        </is>
      </c>
      <c r="K4" s="5" t="inlineStr">
        <is>
          <t>D</t>
        </is>
      </c>
      <c r="L4" s="5" t="inlineStr">
        <is>
          <t>RPN</t>
        </is>
      </c>
      <c r="M4" s="5" t="inlineStr">
        <is>
          <t>우선순위</t>
        </is>
      </c>
      <c r="N4" s="5" t="inlineStr">
        <is>
          <t>권고 조치</t>
        </is>
      </c>
      <c r="O4" s="5" t="inlineStr">
        <is>
          <t>담당</t>
        </is>
      </c>
      <c r="P4" s="5" t="inlineStr">
        <is>
          <t>목표일</t>
        </is>
      </c>
      <c r="Q4" s="5" t="inlineStr">
        <is>
          <t>상태/비고</t>
        </is>
      </c>
    </row>
    <row r="5">
      <c r="A5" s="9" t="inlineStr">
        <is>
          <t>9.1.1</t>
        </is>
      </c>
      <c r="B5" s="6" t="inlineStr">
        <is>
          <t>9 교육·훈련·질 관리</t>
        </is>
      </c>
      <c r="C5" s="6" t="inlineStr">
        <is>
          <t>9.1 교육·자격</t>
        </is>
      </c>
      <c r="D5" s="6" t="inlineStr">
        <is>
          <t>9.1.1 교육 대상 정의</t>
        </is>
      </c>
      <c r="E5" s="6" t="inlineStr">
        <is>
          <t>대상자 범위 누락(비정규직·타과 의사·지원인력)</t>
        </is>
      </c>
      <c r="F5" s="6" t="inlineStr">
        <is>
          <t>소생 역량 없는 인력이 현장 초기 대응</t>
        </is>
      </c>
      <c r="G5" s="6" t="inlineStr">
        <is>
          <t>대상 정의 기준 모호, 인사·교육 부서 간 정보 불일치</t>
        </is>
      </c>
      <c r="H5" s="6" t="inlineStr">
        <is>
          <t>직종별 필수 교육 목록</t>
        </is>
      </c>
      <c r="I5" s="10" t="n">
        <v>8</v>
      </c>
      <c r="J5" s="10" t="n">
        <v>6</v>
      </c>
      <c r="K5" s="10" t="n">
        <v>6</v>
      </c>
      <c r="L5" s="11">
        <f>I5*J5*K5</f>
        <v>288</v>
      </c>
      <c r="M5" s="11" t="str">
        <f>IF(OR(L5&gt;=척도!$B$17,AND(I5&gt;=척도!$B$19,L5&gt;=척도!$B$18)),"높음",IF(L5&gt;=척도!$B$18,"중간","낮음"))</f>
        <v>중간</v>
      </c>
      <c r="N5" s="12" t="inlineStr">
        <is>
          <t>직종·부서별 필수 자격 매트릭스 작성, 인사DB 자동 연동</t>
        </is>
      </c>
      <c r="O5" s="13" t="inlineStr"/>
      <c r="P5" s="13" t="inlineStr"/>
      <c r="Q5" s="12" t="inlineStr"/>
    </row>
    <row r="6">
      <c r="A6" s="9" t="inlineStr">
        <is>
          <t>9.1.2</t>
        </is>
      </c>
      <c r="B6" s="6" t="inlineStr">
        <is>
          <t>9 교육·훈련·질 관리</t>
        </is>
      </c>
      <c r="C6" s="6" t="inlineStr">
        <is>
          <t>9.1 교육·자격</t>
        </is>
      </c>
      <c r="D6" s="6" t="inlineStr">
        <is>
          <t>9.1.1 교육 대상 정의</t>
        </is>
      </c>
      <c r="E6" s="6" t="inlineStr">
        <is>
          <t>비임상 직원(원무·보안·시설) 교육 제외</t>
        </is>
      </c>
      <c r="F6" s="6" t="inlineStr">
        <is>
          <t>호출 접수·길 안내·엘리베이터 대응 지연</t>
        </is>
      </c>
      <c r="G6" s="6" t="inlineStr">
        <is>
          <t>교육 대상을 임상으로 한정</t>
        </is>
      </c>
      <c r="H6" s="6" t="inlineStr">
        <is>
          <t>없음</t>
        </is>
      </c>
      <c r="I6" s="10" t="n">
        <v>6</v>
      </c>
      <c r="J6" s="10" t="n">
        <v>7</v>
      </c>
      <c r="K6" s="10" t="n">
        <v>7</v>
      </c>
      <c r="L6" s="11">
        <f>I6*J6*K6</f>
        <v>294</v>
      </c>
      <c r="M6" s="11" t="str">
        <f>IF(OR(L6&gt;=척도!$B$17,AND(I6&gt;=척도!$B$19,L6&gt;=척도!$B$18)),"높음",IF(L6&gt;=척도!$B$18,"중간","낮음"))</f>
        <v>중간</v>
      </c>
      <c r="N6" s="12" t="inlineStr">
        <is>
          <t>비임상 직원 대상 '코드 블루 대응 요령' 단기 과정</t>
        </is>
      </c>
      <c r="O6" s="13" t="inlineStr"/>
      <c r="P6" s="13" t="inlineStr"/>
      <c r="Q6" s="12" t="inlineStr"/>
    </row>
    <row r="7">
      <c r="A7" s="9" t="inlineStr">
        <is>
          <t>9.1.3</t>
        </is>
      </c>
      <c r="B7" s="6" t="inlineStr">
        <is>
          <t>9 교육·훈련·질 관리</t>
        </is>
      </c>
      <c r="C7" s="6" t="inlineStr">
        <is>
          <t>9.1 교육·자격</t>
        </is>
      </c>
      <c r="D7" s="6" t="inlineStr">
        <is>
          <t>9.1.2 자격 취득 관리</t>
        </is>
      </c>
      <c r="E7" s="6" t="inlineStr">
        <is>
          <t>신규 입사자 BLS 미이수 상태로 근무 배치</t>
        </is>
      </c>
      <c r="F7" s="6" t="inlineStr">
        <is>
          <t>초기 소생 지연·질 저하</t>
        </is>
      </c>
      <c r="G7" s="6" t="inlineStr">
        <is>
          <t>오리엔테이션 일정 지연, 이수 확인 절차 없음</t>
        </is>
      </c>
      <c r="H7" s="6" t="inlineStr">
        <is>
          <t>오리엔테이션 일정표</t>
        </is>
      </c>
      <c r="I7" s="10" t="n">
        <v>9</v>
      </c>
      <c r="J7" s="10" t="n">
        <v>5</v>
      </c>
      <c r="K7" s="10" t="n">
        <v>6</v>
      </c>
      <c r="L7" s="11">
        <f>I7*J7*K7</f>
        <v>270</v>
      </c>
      <c r="M7" s="11" t="str">
        <f>IF(OR(L7&gt;=척도!$B$17,AND(I7&gt;=척도!$B$19,L7&gt;=척도!$B$18)),"높음",IF(L7&gt;=척도!$B$18,"중간","낮음"))</f>
        <v>중간</v>
      </c>
      <c r="N7" s="12" t="inlineStr">
        <is>
          <t>BLS 이수 완료 전 단독 근무 불가 규정, 입사 후 N주 내 이수</t>
        </is>
      </c>
      <c r="O7" s="13" t="inlineStr"/>
      <c r="P7" s="13" t="inlineStr"/>
      <c r="Q7" s="12" t="inlineStr"/>
    </row>
    <row r="8">
      <c r="A8" s="9" t="inlineStr">
        <is>
          <t>9.1.4</t>
        </is>
      </c>
      <c r="B8" s="6" t="inlineStr">
        <is>
          <t>9 교육·훈련·질 관리</t>
        </is>
      </c>
      <c r="C8" s="6" t="inlineStr">
        <is>
          <t>9.1 교육·자격</t>
        </is>
      </c>
      <c r="D8" s="6" t="inlineStr">
        <is>
          <t>9.1.2 자격 취득 관리</t>
        </is>
      </c>
      <c r="E8" s="6" t="inlineStr">
        <is>
          <t>교육 정원 부족으로 이수 지연</t>
        </is>
      </c>
      <c r="F8" s="6" t="inlineStr">
        <is>
          <t>미이수자 누적</t>
        </is>
      </c>
      <c r="G8" s="6" t="inlineStr">
        <is>
          <t>강사·장소·장비 부족, 연중 일정 제한</t>
        </is>
      </c>
      <c r="H8" s="6" t="inlineStr">
        <is>
          <t>연간 교육 계획</t>
        </is>
      </c>
      <c r="I8" s="10" t="n">
        <v>7</v>
      </c>
      <c r="J8" s="10" t="n">
        <v>6</v>
      </c>
      <c r="K8" s="10" t="n">
        <v>5</v>
      </c>
      <c r="L8" s="11">
        <f>I8*J8*K8</f>
        <v>210</v>
      </c>
      <c r="M8" s="11" t="str">
        <f>IF(OR(L8&gt;=척도!$B$17,AND(I8&gt;=척도!$B$19,L8&gt;=척도!$B$18)),"높음",IF(L8&gt;=척도!$B$18,"중간","낮음"))</f>
        <v>중간</v>
      </c>
      <c r="N8" s="12" t="inlineStr">
        <is>
          <t>교육 정원 확대, 야간·주말 반 신설, 온라인+실습 혼합</t>
        </is>
      </c>
      <c r="O8" s="13" t="inlineStr"/>
      <c r="P8" s="13" t="inlineStr"/>
      <c r="Q8" s="12" t="inlineStr"/>
    </row>
    <row r="9">
      <c r="A9" s="9" t="inlineStr">
        <is>
          <t>9.1.5</t>
        </is>
      </c>
      <c r="B9" s="6" t="inlineStr">
        <is>
          <t>9 교육·훈련·질 관리</t>
        </is>
      </c>
      <c r="C9" s="6" t="inlineStr">
        <is>
          <t>9.1 교육·자격</t>
        </is>
      </c>
      <c r="D9" s="6" t="inlineStr">
        <is>
          <t>9.1.3 자격 갱신·만료 관리</t>
        </is>
      </c>
      <c r="E9" s="6" t="inlineStr">
        <is>
          <t>자격 만료자 미인지</t>
        </is>
      </c>
      <c r="F9" s="6" t="inlineStr">
        <is>
          <t>만료 자격으로 코드팀 배치</t>
        </is>
      </c>
      <c r="G9" s="6" t="inlineStr">
        <is>
          <t>만료일 수기 관리, 알림 없음</t>
        </is>
      </c>
      <c r="H9" s="6" t="inlineStr">
        <is>
          <t>수기 엑셀 관리</t>
        </is>
      </c>
      <c r="I9" s="10" t="n">
        <v>9</v>
      </c>
      <c r="J9" s="10" t="n">
        <v>7</v>
      </c>
      <c r="K9" s="10" t="n">
        <v>7</v>
      </c>
      <c r="L9" s="11">
        <f>I9*J9*K9</f>
        <v>441</v>
      </c>
      <c r="M9" s="11" t="str">
        <f>IF(OR(L9&gt;=척도!$B$17,AND(I9&gt;=척도!$B$19,L9&gt;=척도!$B$18)),"높음",IF(L9&gt;=척도!$B$18,"중간","낮음"))</f>
        <v>높음</v>
      </c>
      <c r="N9" s="12" t="inlineStr">
        <is>
          <t>만료 90/60/30일 전 자동 알림, 부서장 대시보드</t>
        </is>
      </c>
      <c r="O9" s="13" t="inlineStr"/>
      <c r="P9" s="13" t="inlineStr"/>
      <c r="Q9" s="12" t="inlineStr"/>
    </row>
    <row r="10">
      <c r="A10" s="9" t="inlineStr">
        <is>
          <t>9.1.6</t>
        </is>
      </c>
      <c r="B10" s="6" t="inlineStr">
        <is>
          <t>9 교육·훈련·질 관리</t>
        </is>
      </c>
      <c r="C10" s="6" t="inlineStr">
        <is>
          <t>9.1 교육·자격</t>
        </is>
      </c>
      <c r="D10" s="6" t="inlineStr">
        <is>
          <t>9.1.3 자격 갱신·만료 관리</t>
        </is>
      </c>
      <c r="E10" s="6" t="inlineStr">
        <is>
          <t>외부 기관 자격증 진위·유효성 미확인</t>
        </is>
      </c>
      <c r="F10" s="6" t="inlineStr">
        <is>
          <t>자격 없는 인력 인정</t>
        </is>
      </c>
      <c r="G10" s="6" t="inlineStr">
        <is>
          <t>자격 증빙 수집 누락</t>
        </is>
      </c>
      <c r="H10" s="6" t="inlineStr">
        <is>
          <t>사본 제출</t>
        </is>
      </c>
      <c r="I10" s="10" t="n">
        <v>7</v>
      </c>
      <c r="J10" s="10" t="n">
        <v>5</v>
      </c>
      <c r="K10" s="10" t="n">
        <v>7</v>
      </c>
      <c r="L10" s="11">
        <f>I10*J10*K10</f>
        <v>245</v>
      </c>
      <c r="M10" s="11" t="str">
        <f>IF(OR(L10&gt;=척도!$B$17,AND(I10&gt;=척도!$B$19,L10&gt;=척도!$B$18)),"높음",IF(L10&gt;=척도!$B$18,"중간","낮음"))</f>
        <v>중간</v>
      </c>
      <c r="N10" s="12" t="inlineStr">
        <is>
          <t>인증기관 번호 조회 절차·원본 확인</t>
        </is>
      </c>
      <c r="O10" s="13" t="inlineStr"/>
      <c r="P10" s="13" t="inlineStr"/>
      <c r="Q10" s="12" t="inlineStr"/>
    </row>
    <row r="11">
      <c r="A11" s="9" t="inlineStr">
        <is>
          <t>9.1.7</t>
        </is>
      </c>
      <c r="B11" s="6" t="inlineStr">
        <is>
          <t>9 교육·훈련·질 관리</t>
        </is>
      </c>
      <c r="C11" s="6" t="inlineStr">
        <is>
          <t>9.1 교육·자격</t>
        </is>
      </c>
      <c r="D11" s="6" t="inlineStr">
        <is>
          <t>9.1.4 교육과정·강사 질관리</t>
        </is>
      </c>
      <c r="E11" s="6" t="inlineStr">
        <is>
          <t>강사 자격 미충족 또는 강사 간 편차</t>
        </is>
      </c>
      <c r="F11" s="6" t="inlineStr">
        <is>
          <t>교육 품질 불균일, 잘못된 술기 학습</t>
        </is>
      </c>
      <c r="G11" s="6" t="inlineStr">
        <is>
          <t>강사 선발 기준·재인증 부재</t>
        </is>
      </c>
      <c r="H11" s="6" t="inlineStr">
        <is>
          <t>강사 목록</t>
        </is>
      </c>
      <c r="I11" s="10" t="n">
        <v>8</v>
      </c>
      <c r="J11" s="10" t="n">
        <v>5</v>
      </c>
      <c r="K11" s="10" t="n">
        <v>7</v>
      </c>
      <c r="L11" s="11">
        <f>I11*J11*K11</f>
        <v>280</v>
      </c>
      <c r="M11" s="11" t="str">
        <f>IF(OR(L11&gt;=척도!$B$17,AND(I11&gt;=척도!$B$19,L11&gt;=척도!$B$18)),"높음",IF(L11&gt;=척도!$B$18,"중간","낮음"))</f>
        <v>중간</v>
      </c>
      <c r="N11" s="12" t="inlineStr">
        <is>
          <t>강사 인증·정기 재평가, 표준 교안·평가표</t>
        </is>
      </c>
      <c r="O11" s="13" t="inlineStr"/>
      <c r="P11" s="13" t="inlineStr"/>
      <c r="Q11" s="12" t="inlineStr"/>
    </row>
    <row r="12">
      <c r="A12" s="9" t="inlineStr">
        <is>
          <t>9.1.8</t>
        </is>
      </c>
      <c r="B12" s="6" t="inlineStr">
        <is>
          <t>9 교육·훈련·질 관리</t>
        </is>
      </c>
      <c r="C12" s="6" t="inlineStr">
        <is>
          <t>9.1 교육·자격</t>
        </is>
      </c>
      <c r="D12" s="6" t="inlineStr">
        <is>
          <t>9.1.4 교육과정·강사 질관리</t>
        </is>
      </c>
      <c r="E12" s="6" t="inlineStr">
        <is>
          <t>최신 가이드라인 미반영</t>
        </is>
      </c>
      <c r="F12" s="6" t="inlineStr">
        <is>
          <t>구 지침에 따른 처치</t>
        </is>
      </c>
      <c r="G12" s="6" t="inlineStr">
        <is>
          <t>교육 자료 개정 주기 불명확</t>
        </is>
      </c>
      <c r="H12" s="6" t="inlineStr">
        <is>
          <t>수시 업데이트</t>
        </is>
      </c>
      <c r="I12" s="10" t="n">
        <v>8</v>
      </c>
      <c r="J12" s="10" t="n">
        <v>5</v>
      </c>
      <c r="K12" s="10" t="n">
        <v>6</v>
      </c>
      <c r="L12" s="11">
        <f>I12*J12*K12</f>
        <v>240</v>
      </c>
      <c r="M12" s="11" t="str">
        <f>IF(OR(L12&gt;=척도!$B$17,AND(I12&gt;=척도!$B$19,L12&gt;=척도!$B$18)),"높음",IF(L12&gt;=척도!$B$18,"중간","낮음"))</f>
        <v>중간</v>
      </c>
      <c r="N12" s="12" t="inlineStr">
        <is>
          <t>가이드라인 개정 시 일정 내 교육자료·카트 반영 절차</t>
        </is>
      </c>
      <c r="O12" s="13" t="inlineStr"/>
      <c r="P12" s="13" t="inlineStr"/>
      <c r="Q12" s="12" t="inlineStr"/>
    </row>
    <row r="13">
      <c r="A13" s="9" t="inlineStr">
        <is>
          <t>9.1.9</t>
        </is>
      </c>
      <c r="B13" s="6" t="inlineStr">
        <is>
          <t>9 교육·훈련·질 관리</t>
        </is>
      </c>
      <c r="C13" s="6" t="inlineStr">
        <is>
          <t>9.1 교육·자격</t>
        </is>
      </c>
      <c r="D13" s="6" t="inlineStr">
        <is>
          <t>9.1.4 교육과정·강사 질관리</t>
        </is>
      </c>
      <c r="E13" s="6" t="inlineStr">
        <is>
          <t>이론 위주·실기 평가 부족</t>
        </is>
      </c>
      <c r="F13" s="6" t="inlineStr">
        <is>
          <t>현장 수행 능력 미확인</t>
        </is>
      </c>
      <c r="G13" s="6" t="inlineStr">
        <is>
          <t>교육 시간 제약, 평가 도구 부재</t>
        </is>
      </c>
      <c r="H13" s="6" t="inlineStr">
        <is>
          <t>필기 시험</t>
        </is>
      </c>
      <c r="I13" s="10" t="n">
        <v>8</v>
      </c>
      <c r="J13" s="10" t="n">
        <v>6</v>
      </c>
      <c r="K13" s="10" t="n">
        <v>6</v>
      </c>
      <c r="L13" s="11">
        <f>I13*J13*K13</f>
        <v>288</v>
      </c>
      <c r="M13" s="11" t="str">
        <f>IF(OR(L13&gt;=척도!$B$17,AND(I13&gt;=척도!$B$19,L13&gt;=척도!$B$18)),"높음",IF(L13&gt;=척도!$B$18,"중간","낮음"))</f>
        <v>중간</v>
      </c>
      <c r="N13" s="12" t="inlineStr">
        <is>
          <t>술기 합격 기준 설정(압박 깊이·속도 등 객관적 지표)</t>
        </is>
      </c>
      <c r="O13" s="13" t="inlineStr"/>
      <c r="P13" s="13" t="inlineStr"/>
      <c r="Q13" s="12" t="inlineStr"/>
    </row>
    <row r="14">
      <c r="A14" s="9" t="inlineStr">
        <is>
          <t>9.1.10</t>
        </is>
      </c>
      <c r="B14" s="6" t="inlineStr">
        <is>
          <t>9 교육·훈련·질 관리</t>
        </is>
      </c>
      <c r="C14" s="6" t="inlineStr">
        <is>
          <t>9.1 교육·자격</t>
        </is>
      </c>
      <c r="D14" s="6" t="inlineStr">
        <is>
          <t>9.1.5 직종별 역량 인증</t>
        </is>
      </c>
      <c r="E14" s="6" t="inlineStr">
        <is>
          <t>ACLS 인증 없이 코드팀 리더 수행</t>
        </is>
      </c>
      <c r="F14" s="6" t="inlineStr">
        <is>
          <t>리더십·판단 오류</t>
        </is>
      </c>
      <c r="G14" s="6" t="inlineStr">
        <is>
          <t>역할별 필수 자격 미정의</t>
        </is>
      </c>
      <c r="H14" s="6" t="inlineStr">
        <is>
          <t>관행</t>
        </is>
      </c>
      <c r="I14" s="10" t="n">
        <v>10</v>
      </c>
      <c r="J14" s="10" t="n">
        <v>5</v>
      </c>
      <c r="K14" s="10" t="n">
        <v>7</v>
      </c>
      <c r="L14" s="11">
        <f>I14*J14*K14</f>
        <v>350</v>
      </c>
      <c r="M14" s="11" t="str">
        <f>IF(OR(L14&gt;=척도!$B$17,AND(I14&gt;=척도!$B$19,L14&gt;=척도!$B$18)),"높음",IF(L14&gt;=척도!$B$18,"중간","낮음"))</f>
        <v>높음</v>
      </c>
      <c r="N14" s="12" t="inlineStr">
        <is>
          <t>코드팀 리더·기도 담당 등 역할별 필수 자격 명시</t>
        </is>
      </c>
      <c r="O14" s="13" t="inlineStr"/>
      <c r="P14" s="13" t="inlineStr"/>
      <c r="Q14" s="12" t="inlineStr"/>
    </row>
    <row r="15">
      <c r="A15" s="9" t="inlineStr">
        <is>
          <t>9.1.11</t>
        </is>
      </c>
      <c r="B15" s="6" t="inlineStr">
        <is>
          <t>9 교육·훈련·질 관리</t>
        </is>
      </c>
      <c r="C15" s="6" t="inlineStr">
        <is>
          <t>9.1 교육·자격</t>
        </is>
      </c>
      <c r="D15" s="6" t="inlineStr">
        <is>
          <t>9.1.5 직종별 역량 인증</t>
        </is>
      </c>
      <c r="E15" s="6" t="inlineStr">
        <is>
          <t>전공의·교대 인력의 자격 이수 현황 미파악</t>
        </is>
      </c>
      <c r="F15" s="6" t="inlineStr">
        <is>
          <t>야간 당직 시 자격 미비 인력 투입</t>
        </is>
      </c>
      <c r="G15" s="6" t="inlineStr">
        <is>
          <t>수련·인사 부서와 별도 관리</t>
        </is>
      </c>
      <c r="H15" s="6" t="inlineStr">
        <is>
          <t>없음</t>
        </is>
      </c>
      <c r="I15" s="10" t="n">
        <v>9</v>
      </c>
      <c r="J15" s="10" t="n">
        <v>6</v>
      </c>
      <c r="K15" s="10" t="n">
        <v>7</v>
      </c>
      <c r="L15" s="11">
        <f>I15*J15*K15</f>
        <v>378</v>
      </c>
      <c r="M15" s="11" t="str">
        <f>IF(OR(L15&gt;=척도!$B$17,AND(I15&gt;=척도!$B$19,L15&gt;=척도!$B$18)),"높음",IF(L15&gt;=척도!$B$18,"중간","낮음"))</f>
        <v>높음</v>
      </c>
      <c r="N15" s="12" t="inlineStr">
        <is>
          <t>당직표 작성 시 자격 확인 의무화</t>
        </is>
      </c>
      <c r="O15" s="13" t="inlineStr"/>
      <c r="P15" s="13" t="inlineStr"/>
      <c r="Q15" s="12" t="inlineStr"/>
    </row>
    <row r="16">
      <c r="A16" s="9" t="inlineStr">
        <is>
          <t>9.1.12</t>
        </is>
      </c>
      <c r="B16" s="6" t="inlineStr">
        <is>
          <t>9 교육·훈련·질 관리</t>
        </is>
      </c>
      <c r="C16" s="6" t="inlineStr">
        <is>
          <t>9.1 교육·자격</t>
        </is>
      </c>
      <c r="D16" s="6" t="inlineStr">
        <is>
          <t>9.1.5 직종별 역량 인증</t>
        </is>
      </c>
      <c r="E16" s="6" t="inlineStr">
        <is>
          <t>기도관리·제세동기 조작 등 특수 술기 역량 미인증</t>
        </is>
      </c>
      <c r="F16" s="6" t="inlineStr">
        <is>
          <t>장비 조작 오류</t>
        </is>
      </c>
      <c r="G16" s="6" t="inlineStr">
        <is>
          <t>역량 평가 체계 부재</t>
        </is>
      </c>
      <c r="H16" s="6" t="inlineStr">
        <is>
          <t>없음</t>
        </is>
      </c>
      <c r="I16" s="10" t="n">
        <v>9</v>
      </c>
      <c r="J16" s="10" t="n">
        <v>5</v>
      </c>
      <c r="K16" s="10" t="n">
        <v>7</v>
      </c>
      <c r="L16" s="11">
        <f>I16*J16*K16</f>
        <v>315</v>
      </c>
      <c r="M16" s="11" t="str">
        <f>IF(OR(L16&gt;=척도!$B$17,AND(I16&gt;=척도!$B$19,L16&gt;=척도!$B$18)),"높음",IF(L16&gt;=척도!$B$18,"중간","낮음"))</f>
        <v>높음</v>
      </c>
      <c r="N16" s="12" t="inlineStr">
        <is>
          <t>술기 체크오프 리스트·연 1회 재확인</t>
        </is>
      </c>
      <c r="O16" s="13" t="inlineStr"/>
      <c r="P16" s="13" t="inlineStr"/>
      <c r="Q16" s="12" t="inlineStr"/>
    </row>
    <row r="17">
      <c r="A17" s="9" t="inlineStr">
        <is>
          <t>9.1.13</t>
        </is>
      </c>
      <c r="B17" s="6" t="inlineStr">
        <is>
          <t>9 교육·훈련·질 관리</t>
        </is>
      </c>
      <c r="C17" s="6" t="inlineStr">
        <is>
          <t>9.1 교육·자격</t>
        </is>
      </c>
      <c r="D17" s="6" t="inlineStr">
        <is>
          <t>9.1.6 소아·특수 환자 교육</t>
        </is>
      </c>
      <c r="E17" s="6" t="inlineStr">
        <is>
          <t>소아·신생아·산모 소생술 교육 부재</t>
        </is>
      </c>
      <c r="F17" s="6" t="inlineStr">
        <is>
          <t>특수 집단 소생 실패</t>
        </is>
      </c>
      <c r="G17" s="6" t="inlineStr">
        <is>
          <t>성인 위주 교육</t>
        </is>
      </c>
      <c r="H17" s="6" t="inlineStr">
        <is>
          <t>성인 BLS/ACLS</t>
        </is>
      </c>
      <c r="I17" s="10" t="n">
        <v>9</v>
      </c>
      <c r="J17" s="10" t="n">
        <v>5</v>
      </c>
      <c r="K17" s="10" t="n">
        <v>7</v>
      </c>
      <c r="L17" s="11">
        <f>I17*J17*K17</f>
        <v>315</v>
      </c>
      <c r="M17" s="11" t="str">
        <f>IF(OR(L17&gt;=척도!$B$17,AND(I17&gt;=척도!$B$19,L17&gt;=척도!$B$18)),"높음",IF(L17&gt;=척도!$B$18,"중간","낮음"))</f>
        <v>높음</v>
      </c>
      <c r="N17" s="12" t="inlineStr">
        <is>
          <t>PALS·NRP·산모 CPR 교육 지정</t>
        </is>
      </c>
      <c r="O17" s="13" t="inlineStr"/>
      <c r="P17" s="13" t="inlineStr"/>
      <c r="Q17" s="12" t="inlineStr"/>
    </row>
    <row r="18">
      <c r="A18" s="9" t="inlineStr">
        <is>
          <t>9.1.14</t>
        </is>
      </c>
      <c r="B18" s="6" t="inlineStr">
        <is>
          <t>9 교육·훈련·질 관리</t>
        </is>
      </c>
      <c r="C18" s="6" t="inlineStr">
        <is>
          <t>9.1 교육·자격</t>
        </is>
      </c>
      <c r="D18" s="6" t="inlineStr">
        <is>
          <t>9.1.7 교육 기록·전산 관리</t>
        </is>
      </c>
      <c r="E18" s="6" t="inlineStr">
        <is>
          <t>이수 기록 누락·위조·분산 관리</t>
        </is>
      </c>
      <c r="F18" s="6" t="inlineStr">
        <is>
          <t>현황 파악 불가</t>
        </is>
      </c>
      <c r="G18" s="6" t="inlineStr">
        <is>
          <t>시스템 분산, 수기 기록</t>
        </is>
      </c>
      <c r="H18" s="6" t="inlineStr">
        <is>
          <t>부서별 관리</t>
        </is>
      </c>
      <c r="I18" s="10" t="n">
        <v>7</v>
      </c>
      <c r="J18" s="10" t="n">
        <v>6</v>
      </c>
      <c r="K18" s="10" t="n">
        <v>7</v>
      </c>
      <c r="L18" s="11">
        <f>I18*J18*K18</f>
        <v>294</v>
      </c>
      <c r="M18" s="11" t="str">
        <f>IF(OR(L18&gt;=척도!$B$17,AND(I18&gt;=척도!$B$19,L18&gt;=척도!$B$18)),"높음",IF(L18&gt;=척도!$B$18,"중간","낮음"))</f>
        <v>중간</v>
      </c>
      <c r="N18" s="12" t="inlineStr">
        <is>
          <t>교육관리시스템(LMS) 일원화</t>
        </is>
      </c>
      <c r="O18" s="13" t="inlineStr"/>
      <c r="P18" s="13" t="inlineStr"/>
      <c r="Q18" s="12" t="inlineStr"/>
    </row>
    <row r="19">
      <c r="A19" s="9" t="inlineStr">
        <is>
          <t>9.1.15</t>
        </is>
      </c>
      <c r="B19" s="6" t="inlineStr">
        <is>
          <t>9 교육·훈련·질 관리</t>
        </is>
      </c>
      <c r="C19" s="6" t="inlineStr">
        <is>
          <t>9.1 교육·자격</t>
        </is>
      </c>
      <c r="D19" s="6" t="inlineStr">
        <is>
          <t>9.1.7 교육 기록·전산 관리</t>
        </is>
      </c>
      <c r="E19" s="6" t="inlineStr">
        <is>
          <t>이수율 지표 미산정·미보고</t>
        </is>
      </c>
      <c r="F19" s="6" t="inlineStr">
        <is>
          <t>개선 필요성 미인지</t>
        </is>
      </c>
      <c r="G19" s="6" t="inlineStr">
        <is>
          <t>지표 정의 없음</t>
        </is>
      </c>
      <c r="H19" s="6" t="inlineStr">
        <is>
          <t>없음</t>
        </is>
      </c>
      <c r="I19" s="10" t="n">
        <v>6</v>
      </c>
      <c r="J19" s="10" t="n">
        <v>7</v>
      </c>
      <c r="K19" s="10" t="n">
        <v>7</v>
      </c>
      <c r="L19" s="11">
        <f>I19*J19*K19</f>
        <v>294</v>
      </c>
      <c r="M19" s="11" t="str">
        <f>IF(OR(L19&gt;=척도!$B$17,AND(I19&gt;=척도!$B$19,L19&gt;=척도!$B$18)),"높음",IF(L19&gt;=척도!$B$18,"중간","낮음"))</f>
        <v>중간</v>
      </c>
      <c r="N19" s="12" t="inlineStr">
        <is>
          <t>자격 보유율·이수율 월간 보고 및 목표 설정</t>
        </is>
      </c>
      <c r="O19" s="13" t="inlineStr"/>
      <c r="P19" s="13" t="inlineStr"/>
      <c r="Q19" s="12" t="inlineStr"/>
    </row>
    <row r="20">
      <c r="A20" s="9" t="inlineStr">
        <is>
          <t>9.1.16</t>
        </is>
      </c>
      <c r="B20" s="6" t="inlineStr">
        <is>
          <t>9 교육·훈련·질 관리</t>
        </is>
      </c>
      <c r="C20" s="6" t="inlineStr">
        <is>
          <t>9.1 교육·자격</t>
        </is>
      </c>
      <c r="D20" s="6" t="inlineStr">
        <is>
          <t>9.1.8 팀 배치 시 자격 확인</t>
        </is>
      </c>
      <c r="E20" s="6" t="inlineStr">
        <is>
          <t>근무표에 자격 정보 미반영</t>
        </is>
      </c>
      <c r="F20" s="6" t="inlineStr">
        <is>
          <t>코드팀 필수 자격자 부재 시간대 발생</t>
        </is>
      </c>
      <c r="G20" s="6" t="inlineStr">
        <is>
          <t>근무표 시스템과 자격 DB 미연계</t>
        </is>
      </c>
      <c r="H20" s="6" t="inlineStr">
        <is>
          <t>없음</t>
        </is>
      </c>
      <c r="I20" s="10" t="n">
        <v>9</v>
      </c>
      <c r="J20" s="10" t="n">
        <v>6</v>
      </c>
      <c r="K20" s="10" t="n">
        <v>7</v>
      </c>
      <c r="L20" s="11">
        <f>I20*J20*K20</f>
        <v>378</v>
      </c>
      <c r="M20" s="11" t="str">
        <f>IF(OR(L20&gt;=척도!$B$17,AND(I20&gt;=척도!$B$19,L20&gt;=척도!$B$18)),"높음",IF(L20&gt;=척도!$B$18,"중간","낮음"))</f>
        <v>높음</v>
      </c>
      <c r="N20" s="12" t="inlineStr">
        <is>
          <t>근무표 작성 시 필수 자격자 최소 인원 검증</t>
        </is>
      </c>
      <c r="O20" s="13" t="inlineStr"/>
      <c r="P20" s="13" t="inlineStr"/>
      <c r="Q20" s="12" t="inlineStr"/>
    </row>
    <row r="21">
      <c r="A21" s="9" t="inlineStr">
        <is>
          <t>9.1.17</t>
        </is>
      </c>
      <c r="B21" s="6" t="inlineStr">
        <is>
          <t>9 교육·훈련·질 관리</t>
        </is>
      </c>
      <c r="C21" s="6" t="inlineStr">
        <is>
          <t>9.1 교육·자격</t>
        </is>
      </c>
      <c r="D21" s="6" t="inlineStr">
        <is>
          <t>9.1.8 팀 배치 시 자격 확인</t>
        </is>
      </c>
      <c r="E21" s="6" t="inlineStr">
        <is>
          <t>휴직·퇴사·전배 반영 지연</t>
        </is>
      </c>
      <c r="F21" s="6" t="inlineStr">
        <is>
          <t>명단이 실제와 불일치</t>
        </is>
      </c>
      <c r="G21" s="6" t="inlineStr">
        <is>
          <t>인사 변동 통보 지연</t>
        </is>
      </c>
      <c r="H21" s="6" t="inlineStr">
        <is>
          <t>없음</t>
        </is>
      </c>
      <c r="I21" s="10" t="n">
        <v>7</v>
      </c>
      <c r="J21" s="10" t="n">
        <v>6</v>
      </c>
      <c r="K21" s="10" t="n">
        <v>6</v>
      </c>
      <c r="L21" s="11">
        <f>I21*J21*K21</f>
        <v>252</v>
      </c>
      <c r="M21" s="11" t="str">
        <f>IF(OR(L21&gt;=척도!$B$17,AND(I21&gt;=척도!$B$19,L21&gt;=척도!$B$18)),"높음",IF(L21&gt;=척도!$B$18,"중간","낮음"))</f>
        <v>중간</v>
      </c>
      <c r="N21" s="12" t="inlineStr">
        <is>
          <t>인사 변동 시 자격 DB 자동 갱신</t>
        </is>
      </c>
      <c r="O21" s="13" t="inlineStr"/>
      <c r="P21" s="13" t="inlineStr"/>
      <c r="Q21" s="12" t="inlineStr"/>
    </row>
  </sheetData>
  <autoFilter ref="A4:Q21"/>
  <conditionalFormatting sqref="M5:M21">
    <cfRule type="cellIs" priority="1" operator="equal" dxfId="0">
      <formula>"높음"</formula>
    </cfRule>
    <cfRule type="cellIs" priority="2" operator="equal" dxfId="1">
      <formula>"중간"</formula>
    </cfRule>
    <cfRule type="cellIs" priority="3" operator="equal" dxfId="2">
      <formula>"낮음"</formula>
    </cfRule>
  </conditionalFormatting>
  <dataValidations count="1">
    <dataValidation sqref="I5:K21" showDropDown="0" showInputMessage="0" showErrorMessage="1" allowBlank="0" error="1~10 정수" type="whole" operator="between">
      <formula1>1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30" customWidth="1" min="5" max="5"/>
    <col width="30" customWidth="1" min="6" max="6"/>
    <col width="40" customWidth="1" min="7" max="7"/>
    <col width="30" customWidth="1" min="8" max="8"/>
    <col width="5" customWidth="1" min="9" max="9"/>
    <col width="5" customWidth="1" min="10" max="10"/>
    <col width="5" customWidth="1" min="11" max="11"/>
    <col width="7" customWidth="1" min="12" max="12"/>
    <col width="9" customWidth="1" min="13" max="13"/>
    <col width="38" customWidth="1" min="14" max="14"/>
    <col width="10" customWidth="1" min="15" max="15"/>
    <col width="11" customWidth="1" min="16" max="16"/>
    <col width="14" customWidth="1" min="17" max="17"/>
  </cols>
  <sheetData>
    <row r="1">
      <c r="A1" s="4" t="inlineStr">
        <is>
          <t>CPR FMEA 워크시트 – 9.2 모의훈련 (강화)</t>
        </is>
      </c>
    </row>
    <row r="2">
      <c r="A2" s="8" t="inlineStr">
        <is>
          <t>※ S/O/D(파란색 글자·노란 칸)는 일반적 병원 현황을 가정한 '초안 점수'입니다. 반드시 FMEA 팀 합의와 자체 데이터(지표·사건보고)로 재평가하십시오. RPN·우선순위는 자동 계산됩니다.</t>
        </is>
      </c>
    </row>
    <row r="4" ht="30" customHeight="1">
      <c r="A4" s="5" t="inlineStr">
        <is>
          <t>ID</t>
        </is>
      </c>
      <c r="B4" s="5" t="inlineStr">
        <is>
          <t>Process</t>
        </is>
      </c>
      <c r="C4" s="5" t="inlineStr">
        <is>
          <t>Subprocess</t>
        </is>
      </c>
      <c r="D4" s="5" t="inlineStr">
        <is>
          <t>세부 단계</t>
        </is>
      </c>
      <c r="E4" s="5" t="inlineStr">
        <is>
          <t>잠재적 고장 유형</t>
        </is>
      </c>
      <c r="F4" s="5" t="inlineStr">
        <is>
          <t>잠재적 영향</t>
        </is>
      </c>
      <c r="G4" s="5" t="inlineStr">
        <is>
          <t>잠재적 원인</t>
        </is>
      </c>
      <c r="H4" s="5" t="inlineStr">
        <is>
          <t>현재 관리 방법</t>
        </is>
      </c>
      <c r="I4" s="5" t="inlineStr">
        <is>
          <t>S</t>
        </is>
      </c>
      <c r="J4" s="5" t="inlineStr">
        <is>
          <t>O</t>
        </is>
      </c>
      <c r="K4" s="5" t="inlineStr">
        <is>
          <t>D</t>
        </is>
      </c>
      <c r="L4" s="5" t="inlineStr">
        <is>
          <t>RPN</t>
        </is>
      </c>
      <c r="M4" s="5" t="inlineStr">
        <is>
          <t>우선순위</t>
        </is>
      </c>
      <c r="N4" s="5" t="inlineStr">
        <is>
          <t>권고 조치</t>
        </is>
      </c>
      <c r="O4" s="5" t="inlineStr">
        <is>
          <t>담당</t>
        </is>
      </c>
      <c r="P4" s="5" t="inlineStr">
        <is>
          <t>목표일</t>
        </is>
      </c>
      <c r="Q4" s="5" t="inlineStr">
        <is>
          <t>상태/비고</t>
        </is>
      </c>
    </row>
    <row r="5">
      <c r="A5" s="9" t="inlineStr">
        <is>
          <t>9.2.1</t>
        </is>
      </c>
      <c r="B5" s="6" t="inlineStr">
        <is>
          <t>9 교육·훈련·질 관리</t>
        </is>
      </c>
      <c r="C5" s="6" t="inlineStr">
        <is>
          <t>9.2 모의훈련</t>
        </is>
      </c>
      <c r="D5" s="6" t="inlineStr">
        <is>
          <t>9.2.1 훈련 계획 수립</t>
        </is>
      </c>
      <c r="E5" s="6" t="inlineStr">
        <is>
          <t>연간 계획 부재·형식적 수립</t>
        </is>
      </c>
      <c r="F5" s="6" t="inlineStr">
        <is>
          <t>훈련이 불규칙·소수에 한정</t>
        </is>
      </c>
      <c r="G5" s="6" t="inlineStr">
        <is>
          <t>담당 부서 불명확, 예산·인력 부족</t>
        </is>
      </c>
      <c r="H5" s="6" t="inlineStr">
        <is>
          <t>없음</t>
        </is>
      </c>
      <c r="I5" s="10" t="n">
        <v>7</v>
      </c>
      <c r="J5" s="10" t="n">
        <v>6</v>
      </c>
      <c r="K5" s="10" t="n">
        <v>6</v>
      </c>
      <c r="L5" s="11">
        <f>I5*J5*K5</f>
        <v>252</v>
      </c>
      <c r="M5" s="11" t="str">
        <f>IF(OR(L5&gt;=척도!$B$17,AND(I5&gt;=척도!$B$19,L5&gt;=척도!$B$18)),"높음",IF(L5&gt;=척도!$B$18,"중간","낮음"))</f>
        <v>중간</v>
      </c>
      <c r="N5" s="12" t="inlineStr">
        <is>
          <t>CPR 위원회 주관 연간 훈련 계획, 예산 확보</t>
        </is>
      </c>
      <c r="O5" s="13" t="inlineStr"/>
      <c r="P5" s="13" t="inlineStr"/>
      <c r="Q5" s="12" t="inlineStr"/>
    </row>
    <row r="6">
      <c r="A6" s="9" t="inlineStr">
        <is>
          <t>9.2.2</t>
        </is>
      </c>
      <c r="B6" s="6" t="inlineStr">
        <is>
          <t>9 교육·훈련·질 관리</t>
        </is>
      </c>
      <c r="C6" s="6" t="inlineStr">
        <is>
          <t>9.2 모의훈련</t>
        </is>
      </c>
      <c r="D6" s="6" t="inlineStr">
        <is>
          <t>9.2.1 훈련 계획 수립</t>
        </is>
      </c>
      <c r="E6" s="6" t="inlineStr">
        <is>
          <t>고위험 구역·시간대 누락</t>
        </is>
      </c>
      <c r="F6" s="6" t="inlineStr">
        <is>
          <t>취약 구역 미개선</t>
        </is>
      </c>
      <c r="G6" s="6" t="inlineStr">
        <is>
          <t>위험도 기반 선정 부재</t>
        </is>
      </c>
      <c r="H6" s="6" t="inlineStr">
        <is>
          <t>특정 병동 위주</t>
        </is>
      </c>
      <c r="I6" s="10" t="n">
        <v>8</v>
      </c>
      <c r="J6" s="10" t="n">
        <v>6</v>
      </c>
      <c r="K6" s="10" t="n">
        <v>7</v>
      </c>
      <c r="L6" s="11">
        <f>I6*J6*K6</f>
        <v>336</v>
      </c>
      <c r="M6" s="11" t="str">
        <f>IF(OR(L6&gt;=척도!$B$17,AND(I6&gt;=척도!$B$19,L6&gt;=척도!$B$18)),"높음",IF(L6&gt;=척도!$B$18,"중간","낮음"))</f>
        <v>높음</v>
      </c>
      <c r="N6" s="12" t="inlineStr">
        <is>
          <t>사건·FMEA 결과 기반 우선순위 구역 선정</t>
        </is>
      </c>
      <c r="O6" s="13" t="inlineStr"/>
      <c r="P6" s="13" t="inlineStr"/>
      <c r="Q6" s="12" t="inlineStr"/>
    </row>
    <row r="7">
      <c r="A7" s="9" t="inlineStr">
        <is>
          <t>9.2.3</t>
        </is>
      </c>
      <c r="B7" s="6" t="inlineStr">
        <is>
          <t>9 교육·훈련·질 관리</t>
        </is>
      </c>
      <c r="C7" s="6" t="inlineStr">
        <is>
          <t>9.2 모의훈련</t>
        </is>
      </c>
      <c r="D7" s="6" t="inlineStr">
        <is>
          <t>9.2.2 시나리오 설계</t>
        </is>
      </c>
      <c r="E7" s="6" t="inlineStr">
        <is>
          <t>시나리오가 단순(무대 시연 수준)</t>
        </is>
      </c>
      <c r="F7" s="6" t="inlineStr">
        <is>
          <t>실제 복합 상황 대응 능력 미확인</t>
        </is>
      </c>
      <c r="G7" s="6" t="inlineStr">
        <is>
          <t>시나리오 표준화 부재, 설계 전문성 부족</t>
        </is>
      </c>
      <c r="H7" s="6" t="inlineStr">
        <is>
          <t>기본 시나리오</t>
        </is>
      </c>
      <c r="I7" s="10" t="n">
        <v>7</v>
      </c>
      <c r="J7" s="10" t="n">
        <v>6</v>
      </c>
      <c r="K7" s="10" t="n">
        <v>6</v>
      </c>
      <c r="L7" s="11">
        <f>I7*J7*K7</f>
        <v>252</v>
      </c>
      <c r="M7" s="11" t="str">
        <f>IF(OR(L7&gt;=척도!$B$17,AND(I7&gt;=척도!$B$19,L7&gt;=척도!$B$18)),"높음",IF(L7&gt;=척도!$B$18,"중간","낮음"))</f>
        <v>중간</v>
      </c>
      <c r="N7" s="12" t="inlineStr">
        <is>
          <t>원내 사건 사례 기반 시나리오 라이브러리(VF, PEA, 질식, 약물, 소아 등)</t>
        </is>
      </c>
      <c r="O7" s="13" t="inlineStr"/>
      <c r="P7" s="13" t="inlineStr"/>
      <c r="Q7" s="12" t="inlineStr"/>
    </row>
    <row r="8">
      <c r="A8" s="9" t="inlineStr">
        <is>
          <t>9.2.4</t>
        </is>
      </c>
      <c r="B8" s="6" t="inlineStr">
        <is>
          <t>9 교육·훈련·질 관리</t>
        </is>
      </c>
      <c r="C8" s="6" t="inlineStr">
        <is>
          <t>9.2 모의훈련</t>
        </is>
      </c>
      <c r="D8" s="6" t="inlineStr">
        <is>
          <t>9.2.2 시나리오 설계</t>
        </is>
      </c>
      <c r="E8" s="6" t="inlineStr">
        <is>
          <t>실제 장애 요인 미반영(호출 불통, 장비 고장, 인력 부족)</t>
        </is>
      </c>
      <c r="F8" s="6" t="inlineStr">
        <is>
          <t>시스템 취약점 미발견</t>
        </is>
      </c>
      <c r="G8" s="6" t="inlineStr">
        <is>
          <t>정상 조건만 가정</t>
        </is>
      </c>
      <c r="H8" s="6" t="inlineStr">
        <is>
          <t>없음</t>
        </is>
      </c>
      <c r="I8" s="10" t="n">
        <v>8</v>
      </c>
      <c r="J8" s="10" t="n">
        <v>6</v>
      </c>
      <c r="K8" s="10" t="n">
        <v>7</v>
      </c>
      <c r="L8" s="11">
        <f>I8*J8*K8</f>
        <v>336</v>
      </c>
      <c r="M8" s="11" t="str">
        <f>IF(OR(L8&gt;=척도!$B$17,AND(I8&gt;=척도!$B$19,L8&gt;=척도!$B$18)),"높음",IF(L8&gt;=척도!$B$18,"중간","낮음"))</f>
        <v>높음</v>
      </c>
      <c r="N8" s="12" t="inlineStr">
        <is>
          <t>장비 고장·통신 장애 등 변수 삽입(inject)</t>
        </is>
      </c>
      <c r="O8" s="13" t="inlineStr"/>
      <c r="P8" s="13" t="inlineStr"/>
      <c r="Q8" s="12" t="inlineStr"/>
    </row>
    <row r="9">
      <c r="A9" s="9" t="inlineStr">
        <is>
          <t>9.2.5</t>
        </is>
      </c>
      <c r="B9" s="6" t="inlineStr">
        <is>
          <t>9 교육·훈련·질 관리</t>
        </is>
      </c>
      <c r="C9" s="6" t="inlineStr">
        <is>
          <t>9.2 모의훈련</t>
        </is>
      </c>
      <c r="D9" s="6" t="inlineStr">
        <is>
          <t>9.2.3 훈련 시행</t>
        </is>
      </c>
      <c r="E9" s="6" t="inlineStr">
        <is>
          <t>교육실 중심 훈련만 시행(현장 in-situ 훈련 부족)</t>
        </is>
      </c>
      <c r="F9" s="6" t="inlineStr">
        <is>
          <t>병동 환경 문제(침대·공간·장비 위치) 미파악</t>
        </is>
      </c>
      <c r="G9" s="6" t="inlineStr">
        <is>
          <t>환자 안전·운영 부담, 계획 부재</t>
        </is>
      </c>
      <c r="H9" s="6" t="inlineStr">
        <is>
          <t>교육실 훈련</t>
        </is>
      </c>
      <c r="I9" s="10" t="n">
        <v>8</v>
      </c>
      <c r="J9" s="10" t="n">
        <v>7</v>
      </c>
      <c r="K9" s="10" t="n">
        <v>7</v>
      </c>
      <c r="L9" s="11">
        <f>I9*J9*K9</f>
        <v>392</v>
      </c>
      <c r="M9" s="11" t="str">
        <f>IF(OR(L9&gt;=척도!$B$17,AND(I9&gt;=척도!$B$19,L9&gt;=척도!$B$18)),"높음",IF(L9&gt;=척도!$B$18,"중간","낮음"))</f>
        <v>높음</v>
      </c>
      <c r="N9" s="12" t="inlineStr">
        <is>
          <t>병동 in-situ 훈련 분기 1회 이상</t>
        </is>
      </c>
      <c r="O9" s="13" t="inlineStr"/>
      <c r="P9" s="13" t="inlineStr"/>
      <c r="Q9" s="12" t="inlineStr"/>
    </row>
    <row r="10">
      <c r="A10" s="9" t="inlineStr">
        <is>
          <t>9.2.6</t>
        </is>
      </c>
      <c r="B10" s="6" t="inlineStr">
        <is>
          <t>9 교육·훈련·질 관리</t>
        </is>
      </c>
      <c r="C10" s="6" t="inlineStr">
        <is>
          <t>9.2 모의훈련</t>
        </is>
      </c>
      <c r="D10" s="6" t="inlineStr">
        <is>
          <t>9.2.3 훈련 시행</t>
        </is>
      </c>
      <c r="E10" s="6" t="inlineStr">
        <is>
          <t>야간·주말 훈련 미시행</t>
        </is>
      </c>
      <c r="F10" s="6" t="inlineStr">
        <is>
          <t>취약 시간대 문제 미파악</t>
        </is>
      </c>
      <c r="G10" s="6" t="inlineStr">
        <is>
          <t>참여 인력 확보 곤란</t>
        </is>
      </c>
      <c r="H10" s="6" t="inlineStr">
        <is>
          <t>주간 위주</t>
        </is>
      </c>
      <c r="I10" s="10" t="n">
        <v>8</v>
      </c>
      <c r="J10" s="10" t="n">
        <v>7</v>
      </c>
      <c r="K10" s="10" t="n">
        <v>7</v>
      </c>
      <c r="L10" s="11">
        <f>I10*J10*K10</f>
        <v>392</v>
      </c>
      <c r="M10" s="11" t="str">
        <f>IF(OR(L10&gt;=척도!$B$17,AND(I10&gt;=척도!$B$19,L10&gt;=척도!$B$18)),"높음",IF(L10&gt;=척도!$B$18,"중간","낮음"))</f>
        <v>높음</v>
      </c>
      <c r="N10" s="12" t="inlineStr">
        <is>
          <t>야간·주말 불시 훈련 편성</t>
        </is>
      </c>
      <c r="O10" s="13" t="inlineStr"/>
      <c r="P10" s="13" t="inlineStr"/>
      <c r="Q10" s="12" t="inlineStr"/>
    </row>
    <row r="11">
      <c r="A11" s="9" t="inlineStr">
        <is>
          <t>9.2.7</t>
        </is>
      </c>
      <c r="B11" s="6" t="inlineStr">
        <is>
          <t>9 교육·훈련·질 관리</t>
        </is>
      </c>
      <c r="C11" s="6" t="inlineStr">
        <is>
          <t>9.2 모의훈련</t>
        </is>
      </c>
      <c r="D11" s="6" t="inlineStr">
        <is>
          <t>9.2.3 훈련 시행</t>
        </is>
      </c>
      <c r="E11" s="6" t="inlineStr">
        <is>
          <t>불시(unannounced) 훈련 부재</t>
        </is>
      </c>
      <c r="F11" s="6" t="inlineStr">
        <is>
          <t>준비된 상태에서만 검증</t>
        </is>
      </c>
      <c r="G11" s="6" t="inlineStr">
        <is>
          <t>사전 공지 관행, 반발 우려</t>
        </is>
      </c>
      <c r="H11" s="6" t="inlineStr">
        <is>
          <t>사전 공지 훈련</t>
        </is>
      </c>
      <c r="I11" s="10" t="n">
        <v>7</v>
      </c>
      <c r="J11" s="10" t="n">
        <v>7</v>
      </c>
      <c r="K11" s="10" t="n">
        <v>6</v>
      </c>
      <c r="L11" s="11">
        <f>I11*J11*K11</f>
        <v>294</v>
      </c>
      <c r="M11" s="11" t="str">
        <f>IF(OR(L11&gt;=척도!$B$17,AND(I11&gt;=척도!$B$19,L11&gt;=척도!$B$18)),"높음",IF(L11&gt;=척도!$B$18,"중간","낮음"))</f>
        <v>중간</v>
      </c>
      <c r="N11" s="12" t="inlineStr">
        <is>
          <t>불시 훈련 지침 마련·경영진 승인</t>
        </is>
      </c>
      <c r="O11" s="13" t="inlineStr"/>
      <c r="P11" s="13" t="inlineStr"/>
      <c r="Q11" s="12" t="inlineStr"/>
    </row>
    <row r="12">
      <c r="A12" s="9" t="inlineStr">
        <is>
          <t>9.2.8</t>
        </is>
      </c>
      <c r="B12" s="6" t="inlineStr">
        <is>
          <t>9 교육·훈련·질 관리</t>
        </is>
      </c>
      <c r="C12" s="6" t="inlineStr">
        <is>
          <t>9.2 모의훈련</t>
        </is>
      </c>
      <c r="D12" s="6" t="inlineStr">
        <is>
          <t>9.2.3 훈련 시행</t>
        </is>
      </c>
      <c r="E12" s="6" t="inlineStr">
        <is>
          <t>훈련 시 실제 환자 안전·혼란 유발</t>
        </is>
      </c>
      <c r="F12" s="6" t="inlineStr">
        <is>
          <t>환자 불안·업무 방해</t>
        </is>
      </c>
      <c r="G12" s="6" t="inlineStr">
        <is>
          <t>공지·격리 미흡, 장비 혼입</t>
        </is>
      </c>
      <c r="H12" s="6" t="inlineStr">
        <is>
          <t>훈련 표지</t>
        </is>
      </c>
      <c r="I12" s="10" t="n">
        <v>6</v>
      </c>
      <c r="J12" s="10" t="n">
        <v>3</v>
      </c>
      <c r="K12" s="10" t="n">
        <v>4</v>
      </c>
      <c r="L12" s="11">
        <f>I12*J12*K12</f>
        <v>72</v>
      </c>
      <c r="M12" s="11" t="str">
        <f>IF(OR(L12&gt;=척도!$B$17,AND(I12&gt;=척도!$B$19,L12&gt;=척도!$B$18)),"높음",IF(L12&gt;=척도!$B$18,"중간","낮음"))</f>
        <v>낮음</v>
      </c>
      <c r="N12" s="12" t="inlineStr">
        <is>
          <t>훈련 장비 구분 표시, 구역 사전 공지</t>
        </is>
      </c>
      <c r="O12" s="13" t="inlineStr"/>
      <c r="P12" s="13" t="inlineStr"/>
      <c r="Q12" s="12" t="inlineStr"/>
    </row>
    <row r="13">
      <c r="A13" s="9" t="inlineStr">
        <is>
          <t>9.2.9</t>
        </is>
      </c>
      <c r="B13" s="6" t="inlineStr">
        <is>
          <t>9 교육·훈련·질 관리</t>
        </is>
      </c>
      <c r="C13" s="6" t="inlineStr">
        <is>
          <t>9.2 모의훈련</t>
        </is>
      </c>
      <c r="D13" s="6" t="inlineStr">
        <is>
          <t>9.2.4 참여 관리</t>
        </is>
      </c>
      <c r="E13" s="6" t="inlineStr">
        <is>
          <t>핵심 인력(전공의·마취·약사·기도팀) 불참</t>
        </is>
      </c>
      <c r="F13" s="6" t="inlineStr">
        <is>
          <t>다직종 협업 문제 미파악</t>
        </is>
      </c>
      <c r="G13" s="6" t="inlineStr">
        <is>
          <t>근무 일정 충돌, 참여 의무 없음</t>
        </is>
      </c>
      <c r="H13" s="6" t="inlineStr">
        <is>
          <t>자율 참여</t>
        </is>
      </c>
      <c r="I13" s="10" t="n">
        <v>8</v>
      </c>
      <c r="J13" s="10" t="n">
        <v>7</v>
      </c>
      <c r="K13" s="10" t="n">
        <v>6</v>
      </c>
      <c r="L13" s="11">
        <f>I13*J13*K13</f>
        <v>336</v>
      </c>
      <c r="M13" s="11" t="str">
        <f>IF(OR(L13&gt;=척도!$B$17,AND(I13&gt;=척도!$B$19,L13&gt;=척도!$B$18)),"높음",IF(L13&gt;=척도!$B$18,"중간","낮음"))</f>
        <v>높음</v>
      </c>
      <c r="N13" s="12" t="inlineStr">
        <is>
          <t>직종별 참여 의무화·참여율 지표</t>
        </is>
      </c>
      <c r="O13" s="13" t="inlineStr"/>
      <c r="P13" s="13" t="inlineStr"/>
      <c r="Q13" s="12" t="inlineStr"/>
    </row>
    <row r="14">
      <c r="A14" s="9" t="inlineStr">
        <is>
          <t>9.2.10</t>
        </is>
      </c>
      <c r="B14" s="6" t="inlineStr">
        <is>
          <t>9 교육·훈련·질 관리</t>
        </is>
      </c>
      <c r="C14" s="6" t="inlineStr">
        <is>
          <t>9.2 모의훈련</t>
        </is>
      </c>
      <c r="D14" s="6" t="inlineStr">
        <is>
          <t>9.2.4 참여 관리</t>
        </is>
      </c>
      <c r="E14" s="6" t="inlineStr">
        <is>
          <t>동일 인원만 반복 참여</t>
        </is>
      </c>
      <c r="F14" s="6" t="inlineStr">
        <is>
          <t>신규·야간 인력 경험 부족</t>
        </is>
      </c>
      <c r="G14" s="6" t="inlineStr">
        <is>
          <t>참여자 선정 방식 고정</t>
        </is>
      </c>
      <c r="H14" s="6" t="inlineStr">
        <is>
          <t>없음</t>
        </is>
      </c>
      <c r="I14" s="10" t="n">
        <v>7</v>
      </c>
      <c r="J14" s="10" t="n">
        <v>6</v>
      </c>
      <c r="K14" s="10" t="n">
        <v>7</v>
      </c>
      <c r="L14" s="11">
        <f>I14*J14*K14</f>
        <v>294</v>
      </c>
      <c r="M14" s="11" t="str">
        <f>IF(OR(L14&gt;=척도!$B$17,AND(I14&gt;=척도!$B$19,L14&gt;=척도!$B$18)),"높음",IF(L14&gt;=척도!$B$18,"중간","낮음"))</f>
        <v>중간</v>
      </c>
      <c r="N14" s="12" t="inlineStr">
        <is>
          <t>참여 이력 관리 및 순환 배정</t>
        </is>
      </c>
      <c r="O14" s="13" t="inlineStr"/>
      <c r="P14" s="13" t="inlineStr"/>
      <c r="Q14" s="12" t="inlineStr"/>
    </row>
    <row r="15">
      <c r="A15" s="9" t="inlineStr">
        <is>
          <t>9.2.11</t>
        </is>
      </c>
      <c r="B15" s="6" t="inlineStr">
        <is>
          <t>9 교육·훈련·질 관리</t>
        </is>
      </c>
      <c r="C15" s="6" t="inlineStr">
        <is>
          <t>9.2 모의훈련</t>
        </is>
      </c>
      <c r="D15" s="6" t="inlineStr">
        <is>
          <t>9.2.5 평가·측정</t>
        </is>
      </c>
      <c r="E15" s="6" t="inlineStr">
        <is>
          <t>객관적 평가 지표 미사용</t>
        </is>
      </c>
      <c r="F15" s="6" t="inlineStr">
        <is>
          <t>개선 점 불명확</t>
        </is>
      </c>
      <c r="G15" s="6" t="inlineStr">
        <is>
          <t>체크리스트·측정 도구 부재</t>
        </is>
      </c>
      <c r="H15" s="6" t="inlineStr">
        <is>
          <t>관찰자 주관 평가</t>
        </is>
      </c>
      <c r="I15" s="10" t="n">
        <v>8</v>
      </c>
      <c r="J15" s="10" t="n">
        <v>7</v>
      </c>
      <c r="K15" s="10" t="n">
        <v>7</v>
      </c>
      <c r="L15" s="11">
        <f>I15*J15*K15</f>
        <v>392</v>
      </c>
      <c r="M15" s="11" t="str">
        <f>IF(OR(L15&gt;=척도!$B$17,AND(I15&gt;=척도!$B$19,L15&gt;=척도!$B$18)),"높음",IF(L15&gt;=척도!$B$18,"중간","낮음"))</f>
        <v>높음</v>
      </c>
      <c r="N15" s="12" t="inlineStr">
        <is>
          <t>호출~도착, 첫 압박, 첫 제세동 시간 측정, CPR 피드백 기기</t>
        </is>
      </c>
      <c r="O15" s="13" t="inlineStr"/>
      <c r="P15" s="13" t="inlineStr"/>
      <c r="Q15" s="12" t="inlineStr"/>
    </row>
    <row r="16">
      <c r="A16" s="9" t="inlineStr">
        <is>
          <t>9.2.12</t>
        </is>
      </c>
      <c r="B16" s="6" t="inlineStr">
        <is>
          <t>9 교육·훈련·질 관리</t>
        </is>
      </c>
      <c r="C16" s="6" t="inlineStr">
        <is>
          <t>9.2 모의훈련</t>
        </is>
      </c>
      <c r="D16" s="6" t="inlineStr">
        <is>
          <t>9.2.5 평가·측정</t>
        </is>
      </c>
      <c r="E16" s="6" t="inlineStr">
        <is>
          <t>평가자 교육 부족, 평가 편차</t>
        </is>
      </c>
      <c r="F16" s="6" t="inlineStr">
        <is>
          <t>결과 신뢰도 저하</t>
        </is>
      </c>
      <c r="G16" s="6" t="inlineStr">
        <is>
          <t>평가자 표준화 부재</t>
        </is>
      </c>
      <c r="H16" s="6" t="inlineStr">
        <is>
          <t>없음</t>
        </is>
      </c>
      <c r="I16" s="10" t="n">
        <v>7</v>
      </c>
      <c r="J16" s="10" t="n">
        <v>6</v>
      </c>
      <c r="K16" s="10" t="n">
        <v>7</v>
      </c>
      <c r="L16" s="11">
        <f>I16*J16*K16</f>
        <v>294</v>
      </c>
      <c r="M16" s="11" t="str">
        <f>IF(OR(L16&gt;=척도!$B$17,AND(I16&gt;=척도!$B$19,L16&gt;=척도!$B$18)),"높음",IF(L16&gt;=척도!$B$18,"중간","낮음"))</f>
        <v>중간</v>
      </c>
      <c r="N16" s="12" t="inlineStr">
        <is>
          <t>평가자 교육·공통 평가표</t>
        </is>
      </c>
      <c r="O16" s="13" t="inlineStr"/>
      <c r="P16" s="13" t="inlineStr"/>
      <c r="Q16" s="12" t="inlineStr"/>
    </row>
    <row r="17">
      <c r="A17" s="9" t="inlineStr">
        <is>
          <t>9.2.13</t>
        </is>
      </c>
      <c r="B17" s="6" t="inlineStr">
        <is>
          <t>9 교육·훈련·질 관리</t>
        </is>
      </c>
      <c r="C17" s="6" t="inlineStr">
        <is>
          <t>9.2 모의훈련</t>
        </is>
      </c>
      <c r="D17" s="6" t="inlineStr">
        <is>
          <t>9.2.5 평가·측정</t>
        </is>
      </c>
      <c r="E17" s="6" t="inlineStr">
        <is>
          <t>기록·영상 미보관</t>
        </is>
      </c>
      <c r="F17" s="6" t="inlineStr">
        <is>
          <t>재검토 불가</t>
        </is>
      </c>
      <c r="G17" s="6" t="inlineStr">
        <is>
          <t>자원 부족, 개인정보 우려</t>
        </is>
      </c>
      <c r="H17" s="6" t="inlineStr">
        <is>
          <t>수기 메모</t>
        </is>
      </c>
      <c r="I17" s="10" t="n">
        <v>5</v>
      </c>
      <c r="J17" s="10" t="n">
        <v>7</v>
      </c>
      <c r="K17" s="10" t="n">
        <v>7</v>
      </c>
      <c r="L17" s="11">
        <f>I17*J17*K17</f>
        <v>245</v>
      </c>
      <c r="M17" s="11" t="str">
        <f>IF(OR(L17&gt;=척도!$B$17,AND(I17&gt;=척도!$B$19,L17&gt;=척도!$B$18)),"높음",IF(L17&gt;=척도!$B$18,"중간","낮음"))</f>
        <v>중간</v>
      </c>
      <c r="N17" s="12" t="inlineStr">
        <is>
          <t>훈련 영상·타임스탬프 기록</t>
        </is>
      </c>
      <c r="O17" s="13" t="inlineStr"/>
      <c r="P17" s="13" t="inlineStr"/>
      <c r="Q17" s="12" t="inlineStr"/>
    </row>
    <row r="18">
      <c r="A18" s="9" t="inlineStr">
        <is>
          <t>9.2.14</t>
        </is>
      </c>
      <c r="B18" s="6" t="inlineStr">
        <is>
          <t>9 교육·훈련·질 관리</t>
        </is>
      </c>
      <c r="C18" s="6" t="inlineStr">
        <is>
          <t>9.2 모의훈련</t>
        </is>
      </c>
      <c r="D18" s="6" t="inlineStr">
        <is>
          <t>9.2.6 훈련 후 디브리핑</t>
        </is>
      </c>
      <c r="E18" s="6" t="inlineStr">
        <is>
          <t>디브리핑 생략·단축</t>
        </is>
      </c>
      <c r="F18" s="6" t="inlineStr">
        <is>
          <t>학습 효과 저하</t>
        </is>
      </c>
      <c r="G18" s="6" t="inlineStr">
        <is>
          <t>시간 부족, 지적받는 분위기</t>
        </is>
      </c>
      <c r="H18" s="6" t="inlineStr">
        <is>
          <t>없음</t>
        </is>
      </c>
      <c r="I18" s="10" t="n">
        <v>7</v>
      </c>
      <c r="J18" s="10" t="n">
        <v>7</v>
      </c>
      <c r="K18" s="10" t="n">
        <v>7</v>
      </c>
      <c r="L18" s="11">
        <f>I18*J18*K18</f>
        <v>343</v>
      </c>
      <c r="M18" s="11" t="str">
        <f>IF(OR(L18&gt;=척도!$B$17,AND(I18&gt;=척도!$B$19,L18&gt;=척도!$B$18)),"높음",IF(L18&gt;=척도!$B$18,"중간","낮음"))</f>
        <v>높음</v>
      </c>
      <c r="N18" s="12" t="inlineStr">
        <is>
          <t>구조화된 디브리핑(Plus/Delta), 심리적 안전 확보</t>
        </is>
      </c>
      <c r="O18" s="13" t="inlineStr"/>
      <c r="P18" s="13" t="inlineStr"/>
      <c r="Q18" s="12" t="inlineStr"/>
    </row>
    <row r="19">
      <c r="A19" s="9" t="inlineStr">
        <is>
          <t>9.2.15</t>
        </is>
      </c>
      <c r="B19" s="6" t="inlineStr">
        <is>
          <t>9 교육·훈련·질 관리</t>
        </is>
      </c>
      <c r="C19" s="6" t="inlineStr">
        <is>
          <t>9.2 모의훈련</t>
        </is>
      </c>
      <c r="D19" s="6" t="inlineStr">
        <is>
          <t>9.2.7 개선 조치 추적</t>
        </is>
      </c>
      <c r="E19" s="6" t="inlineStr">
        <is>
          <t>발견된 문제의 조치 담당·기한 미지정</t>
        </is>
      </c>
      <c r="F19" s="6" t="inlineStr">
        <is>
          <t>동일 문제 반복</t>
        </is>
      </c>
      <c r="G19" s="6" t="inlineStr">
        <is>
          <t>후속 관리 체계 부재</t>
        </is>
      </c>
      <c r="H19" s="6" t="inlineStr">
        <is>
          <t>보고서 작성</t>
        </is>
      </c>
      <c r="I19" s="10" t="n">
        <v>8</v>
      </c>
      <c r="J19" s="10" t="n">
        <v>7</v>
      </c>
      <c r="K19" s="10" t="n">
        <v>7</v>
      </c>
      <c r="L19" s="11">
        <f>I19*J19*K19</f>
        <v>392</v>
      </c>
      <c r="M19" s="11" t="str">
        <f>IF(OR(L19&gt;=척도!$B$17,AND(I19&gt;=척도!$B$19,L19&gt;=척도!$B$18)),"높음",IF(L19&gt;=척도!$B$18,"중간","낮음"))</f>
        <v>높음</v>
      </c>
      <c r="N19" s="12" t="inlineStr">
        <is>
          <t>조치 담당·기한 지정, 위원회 월간 추적</t>
        </is>
      </c>
      <c r="O19" s="13" t="inlineStr"/>
      <c r="P19" s="13" t="inlineStr"/>
      <c r="Q19" s="12" t="inlineStr"/>
    </row>
    <row r="20">
      <c r="A20" s="9" t="inlineStr">
        <is>
          <t>9.2.16</t>
        </is>
      </c>
      <c r="B20" s="6" t="inlineStr">
        <is>
          <t>9 교육·훈련·질 관리</t>
        </is>
      </c>
      <c r="C20" s="6" t="inlineStr">
        <is>
          <t>9.2 모의훈련</t>
        </is>
      </c>
      <c r="D20" s="6" t="inlineStr">
        <is>
          <t>9.2.7 개선 조치 추적</t>
        </is>
      </c>
      <c r="E20" s="6" t="inlineStr">
        <is>
          <t>결과 미공유(경영진·현장)</t>
        </is>
      </c>
      <c r="F20" s="6" t="inlineStr">
        <is>
          <t>개선 동력 약화</t>
        </is>
      </c>
      <c r="G20" s="6" t="inlineStr">
        <is>
          <t>보고 체계 부재</t>
        </is>
      </c>
      <c r="H20" s="6" t="inlineStr">
        <is>
          <t>없음</t>
        </is>
      </c>
      <c r="I20" s="10" t="n">
        <v>6</v>
      </c>
      <c r="J20" s="10" t="n">
        <v>7</v>
      </c>
      <c r="K20" s="10" t="n">
        <v>7</v>
      </c>
      <c r="L20" s="11">
        <f>I20*J20*K20</f>
        <v>294</v>
      </c>
      <c r="M20" s="11" t="str">
        <f>IF(OR(L20&gt;=척도!$B$17,AND(I20&gt;=척도!$B$19,L20&gt;=척도!$B$18)),"높음",IF(L20&gt;=척도!$B$18,"중간","낮음"))</f>
        <v>중간</v>
      </c>
      <c r="N20" s="12" t="inlineStr">
        <is>
          <t>훈련 결과 분기별 병원 경영진 보고</t>
        </is>
      </c>
      <c r="O20" s="13" t="inlineStr"/>
      <c r="P20" s="13" t="inlineStr"/>
      <c r="Q20" s="12" t="inlineStr"/>
    </row>
    <row r="21">
      <c r="A21" s="9" t="inlineStr">
        <is>
          <t>9.2.17</t>
        </is>
      </c>
      <c r="B21" s="6" t="inlineStr">
        <is>
          <t>9 교육·훈련·질 관리</t>
        </is>
      </c>
      <c r="C21" s="6" t="inlineStr">
        <is>
          <t>9.2 모의훈련</t>
        </is>
      </c>
      <c r="D21" s="6" t="inlineStr">
        <is>
          <t>9.2.8 시스템 환경 점검</t>
        </is>
      </c>
      <c r="E21" s="6" t="inlineStr">
        <is>
          <t>호출 체계·엘리베이터·출입통제 연동 미검증</t>
        </is>
      </c>
      <c r="F21" s="6" t="inlineStr">
        <is>
          <t>실제 상황에서 도착 지연</t>
        </is>
      </c>
      <c r="G21" s="6" t="inlineStr">
        <is>
          <t>시스템 점검이 훈련에 미포함</t>
        </is>
      </c>
      <c r="H21" s="6" t="inlineStr">
        <is>
          <t>시설 점검과 별도</t>
        </is>
      </c>
      <c r="I21" s="10" t="n">
        <v>9</v>
      </c>
      <c r="J21" s="10" t="n">
        <v>6</v>
      </c>
      <c r="K21" s="10" t="n">
        <v>7</v>
      </c>
      <c r="L21" s="11">
        <f>I21*J21*K21</f>
        <v>378</v>
      </c>
      <c r="M21" s="11" t="str">
        <f>IF(OR(L21&gt;=척도!$B$17,AND(I21&gt;=척도!$B$19,L21&gt;=척도!$B$18)),"높음",IF(L21&gt;=척도!$B$18,"중간","낮음"))</f>
        <v>높음</v>
      </c>
      <c r="N21" s="12" t="inlineStr">
        <is>
          <t>호출→도착 end-to-end 시험 정기 실시</t>
        </is>
      </c>
      <c r="O21" s="13" t="inlineStr"/>
      <c r="P21" s="13" t="inlineStr"/>
      <c r="Q21" s="12" t="inlineStr"/>
    </row>
    <row r="22">
      <c r="A22" s="9" t="inlineStr">
        <is>
          <t>9.2.18</t>
        </is>
      </c>
      <c r="B22" s="6" t="inlineStr">
        <is>
          <t>9 교육·훈련·질 관리</t>
        </is>
      </c>
      <c r="C22" s="6" t="inlineStr">
        <is>
          <t>9.2 모의훈련</t>
        </is>
      </c>
      <c r="D22" s="6" t="inlineStr">
        <is>
          <t>9.2.8 시스템 환경 점검</t>
        </is>
      </c>
      <c r="E22" s="6" t="inlineStr">
        <is>
          <t>응급카트·제세동기 위치·상태 훈련 중 미점검</t>
        </is>
      </c>
      <c r="F22" s="6" t="inlineStr">
        <is>
          <t>장비 문제 미발견</t>
        </is>
      </c>
      <c r="G22" s="6" t="inlineStr">
        <is>
          <t>훈련이 인력 술기 위주</t>
        </is>
      </c>
      <c r="H22" s="6" t="inlineStr">
        <is>
          <t>없음</t>
        </is>
      </c>
      <c r="I22" s="10" t="n">
        <v>8</v>
      </c>
      <c r="J22" s="10" t="n">
        <v>6</v>
      </c>
      <c r="K22" s="10" t="n">
        <v>7</v>
      </c>
      <c r="L22" s="11">
        <f>I22*J22*K22</f>
        <v>336</v>
      </c>
      <c r="M22" s="11" t="str">
        <f>IF(OR(L22&gt;=척도!$B$17,AND(I22&gt;=척도!$B$19,L22&gt;=척도!$B$18)),"높음",IF(L22&gt;=척도!$B$18,"중간","낮음"))</f>
        <v>높음</v>
      </c>
      <c r="N22" s="12" t="inlineStr">
        <is>
          <t>훈련 시 장비 점검 항목 포함</t>
        </is>
      </c>
      <c r="O22" s="13" t="inlineStr"/>
      <c r="P22" s="13" t="inlineStr"/>
      <c r="Q22" s="12" t="inlineStr"/>
    </row>
  </sheetData>
  <autoFilter ref="A4:Q22"/>
  <conditionalFormatting sqref="M5:M22">
    <cfRule type="cellIs" priority="1" operator="equal" dxfId="0">
      <formula>"높음"</formula>
    </cfRule>
    <cfRule type="cellIs" priority="2" operator="equal" dxfId="1">
      <formula>"중간"</formula>
    </cfRule>
    <cfRule type="cellIs" priority="3" operator="equal" dxfId="2">
      <formula>"낮음"</formula>
    </cfRule>
  </conditionalFormatting>
  <dataValidations count="1">
    <dataValidation sqref="I5:K22" showDropDown="0" showInputMessage="0" showErrorMessage="1" allowBlank="0" error="1~10 정수" type="whole" operator="between">
      <formula1>1</formula1>
      <formula2>10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4" t="inlineStr">
        <is>
          <t>FMEA 요약 (자동 계산)</t>
        </is>
      </c>
    </row>
    <row r="3">
      <c r="A3" s="5" t="inlineStr">
        <is>
          <t>시트</t>
        </is>
      </c>
      <c r="B3" s="5" t="inlineStr">
        <is>
          <t>항목 수</t>
        </is>
      </c>
      <c r="C3" s="5" t="inlineStr">
        <is>
          <t>높음</t>
        </is>
      </c>
      <c r="D3" s="5" t="inlineStr">
        <is>
          <t>중간</t>
        </is>
      </c>
      <c r="E3" s="5" t="inlineStr">
        <is>
          <t>낮음</t>
        </is>
      </c>
      <c r="F3" s="5" t="inlineStr">
        <is>
          <t>평균 RPN</t>
        </is>
      </c>
      <c r="G3" s="5" t="inlineStr">
        <is>
          <t>최대 RPN</t>
        </is>
      </c>
    </row>
    <row r="4">
      <c r="A4" s="9" t="inlineStr">
        <is>
          <t>FMEA_일반</t>
        </is>
      </c>
      <c r="B4" s="9">
        <f>COUNTA('FMEA_일반'!A5:A63)</f>
        <v>59</v>
      </c>
      <c r="C4" s="9">
        <f>COUNTIF('FMEA_일반'!M5:M63,"높음")</f>
        <v>17</v>
      </c>
      <c r="D4" s="9">
        <f>COUNTIF('FMEA_일반'!M5:M63,"중간")</f>
        <v>35</v>
      </c>
      <c r="E4" s="9">
        <f>COUNTIF('FMEA_일반'!M5:M63,"낮음")</f>
        <v>7</v>
      </c>
      <c r="F4" s="14">
        <f>AVERAGE('FMEA_일반'!L5:L63)</f>
        <v>252.83050847457628</v>
      </c>
      <c r="G4" s="9">
        <f>MAX('FMEA_일반'!L5:L63)</f>
        <v>378</v>
      </c>
    </row>
    <row r="5">
      <c r="A5" s="9" t="inlineStr">
        <is>
          <t>FMEA_교육자격</t>
        </is>
      </c>
      <c r="B5" s="9">
        <f>COUNTA('FMEA_교육자격'!A5:A21)</f>
        <v>17</v>
      </c>
      <c r="C5" s="9">
        <f>COUNTIF('FMEA_교육자격'!M5:M21,"높음")</f>
        <v>6</v>
      </c>
      <c r="D5" s="9">
        <f>COUNTIF('FMEA_교육자격'!M5:M21,"중간")</f>
        <v>11</v>
      </c>
      <c r="E5" s="9">
        <f>COUNTIF('FMEA_교육자격'!M5:M21,"낮음")</f>
        <v>0</v>
      </c>
      <c r="F5" s="14">
        <f>AVERAGE('FMEA_교육자격'!L5:L21)</f>
        <v>301.88235294117646</v>
      </c>
      <c r="G5" s="9">
        <f>MAX('FMEA_교육자격'!L5:L21)</f>
        <v>441</v>
      </c>
    </row>
    <row r="6">
      <c r="A6" s="9" t="inlineStr">
        <is>
          <t>FMEA_모의훈련</t>
        </is>
      </c>
      <c r="B6" s="9">
        <f>COUNTA('FMEA_모의훈련'!A5:A22)</f>
        <v>18</v>
      </c>
      <c r="C6" s="9">
        <f>COUNTIF('FMEA_모의훈련'!M5:M22,"높음")</f>
        <v>10</v>
      </c>
      <c r="D6" s="9">
        <f>COUNTIF('FMEA_모의훈련'!M5:M22,"중간")</f>
        <v>7</v>
      </c>
      <c r="E6" s="9">
        <f>COUNTIF('FMEA_모의훈련'!M5:M22,"낮음")</f>
        <v>1</v>
      </c>
      <c r="F6" s="14">
        <f>AVERAGE('FMEA_모의훈련'!L5:L22)</f>
        <v>312.77777777777777</v>
      </c>
      <c r="G6" s="9">
        <f>MAX('FMEA_모의훈련'!L5:L22)</f>
        <v>392</v>
      </c>
    </row>
    <row r="7">
      <c r="A7" s="15" t="inlineStr">
        <is>
          <t>합계</t>
        </is>
      </c>
      <c r="B7" s="11">
        <f>SUM(B4:B6)</f>
        <v>94</v>
      </c>
      <c r="C7" s="11">
        <f>SUM(C4:C6)</f>
        <v>33</v>
      </c>
      <c r="D7" s="11">
        <f>SUM(D4:D6)</f>
        <v>53</v>
      </c>
      <c r="E7" s="11">
        <f>SUM(E4:E6)</f>
        <v>8</v>
      </c>
    </row>
    <row r="9">
      <c r="A9" s="16" t="inlineStr">
        <is>
          <t>프로세스별 평균 RPN (FMEA_일반)</t>
        </is>
      </c>
    </row>
    <row r="10">
      <c r="A10" s="5" t="inlineStr">
        <is>
          <t>Process</t>
        </is>
      </c>
      <c r="B10" s="5" t="inlineStr">
        <is>
          <t>항목 수</t>
        </is>
      </c>
      <c r="C10" s="5" t="inlineStr">
        <is>
          <t>평균 RPN</t>
        </is>
      </c>
      <c r="D10" s="5" t="inlineStr">
        <is>
          <t>높음 건수</t>
        </is>
      </c>
    </row>
    <row r="11">
      <c r="A11" s="6" t="inlineStr">
        <is>
          <t>1 심정지 예방·조기경고</t>
        </is>
      </c>
      <c r="B11" s="9">
        <f>COUNTIF('FMEA_일반'!$B$5:$B$63,A11)</f>
        <v>6</v>
      </c>
      <c r="C11" s="14">
        <f>AVERAGEIF('FMEA_일반'!$B$5:$B$63,A11,'FMEA_일반'!$L$5:$L$63)</f>
        <v>238.0</v>
      </c>
      <c r="D11" s="9">
        <f>COUNTIFS('FMEA_일반'!$B$5:$B$63,A11,'FMEA_일반'!$M$5:$M$63,"높음")</f>
        <v>0</v>
      </c>
    </row>
    <row r="12">
      <c r="A12" s="6" t="inlineStr">
        <is>
          <t>2 심정지 인지</t>
        </is>
      </c>
      <c r="B12" s="9">
        <f>COUNTIF('FMEA_일반'!$B$5:$B$63,A12)</f>
        <v>4</v>
      </c>
      <c r="C12" s="14">
        <f>AVERAGEIF('FMEA_일반'!$B$5:$B$63,A12,'FMEA_일반'!$L$5:$L$63)</f>
        <v>264.0</v>
      </c>
      <c r="D12" s="9">
        <f>COUNTIFS('FMEA_일반'!$B$5:$B$63,A12,'FMEA_일반'!$M$5:$M$63,"높음")</f>
        <v>1</v>
      </c>
    </row>
    <row r="13">
      <c r="A13" s="6" t="inlineStr">
        <is>
          <t>3 코드 호출·전파</t>
        </is>
      </c>
      <c r="B13" s="9">
        <f>COUNTIF('FMEA_일반'!$B$5:$B$63,A13)</f>
        <v>6</v>
      </c>
      <c r="C13" s="14">
        <f>AVERAGEIF('FMEA_일반'!$B$5:$B$63,A13,'FMEA_일반'!$L$5:$L$63)</f>
        <v>223.33333333333334</v>
      </c>
      <c r="D13" s="9">
        <f>COUNTIFS('FMEA_일반'!$B$5:$B$63,A13,'FMEA_일반'!$M$5:$M$63,"높음")</f>
        <v>1</v>
      </c>
    </row>
    <row r="14">
      <c r="A14" s="6" t="inlineStr">
        <is>
          <t>4 초기 소생술(BLS)</t>
        </is>
      </c>
      <c r="B14" s="9">
        <f>COUNTIF('FMEA_일반'!$B$5:$B$63,A14)</f>
        <v>10</v>
      </c>
      <c r="C14" s="14">
        <f>AVERAGEIF('FMEA_일반'!$B$5:$B$63,A14,'FMEA_일반'!$L$5:$L$63)</f>
        <v>263.4</v>
      </c>
      <c r="D14" s="9">
        <f>COUNTIFS('FMEA_일반'!$B$5:$B$63,A14,'FMEA_일반'!$M$5:$M$63,"높음")</f>
        <v>5</v>
      </c>
    </row>
    <row r="15">
      <c r="A15" s="6" t="inlineStr">
        <is>
          <t>5 전문소생술(ACLS)</t>
        </is>
      </c>
      <c r="B15" s="9">
        <f>COUNTIF('FMEA_일반'!$B$5:$B$63,A15)</f>
        <v>13</v>
      </c>
      <c r="C15" s="14">
        <f>AVERAGEIF('FMEA_일반'!$B$5:$B$63,A15,'FMEA_일반'!$L$5:$L$63)</f>
        <v>256.7692307692308</v>
      </c>
      <c r="D15" s="9">
        <f>COUNTIFS('FMEA_일반'!$B$5:$B$63,A15,'FMEA_일반'!$M$5:$M$63,"높음")</f>
        <v>5</v>
      </c>
    </row>
    <row r="16">
      <c r="A16" s="6" t="inlineStr">
        <is>
          <t>6 장비·약품 관리</t>
        </is>
      </c>
      <c r="B16" s="9">
        <f>COUNTIF('FMEA_일반'!$B$5:$B$63,A16)</f>
        <v>7</v>
      </c>
      <c r="C16" s="14">
        <f>AVERAGEIF('FMEA_일반'!$B$5:$B$63,A16,'FMEA_일반'!$L$5:$L$63)</f>
        <v>226.57142857142858</v>
      </c>
      <c r="D16" s="9">
        <f>COUNTIFS('FMEA_일반'!$B$5:$B$63,A16,'FMEA_일반'!$M$5:$M$63,"높음")</f>
        <v>1</v>
      </c>
    </row>
    <row r="17">
      <c r="A17" s="6" t="inlineStr">
        <is>
          <t>7 의사소통·기록</t>
        </is>
      </c>
      <c r="B17" s="9">
        <f>COUNTIF('FMEA_일반'!$B$5:$B$63,A17)</f>
        <v>5</v>
      </c>
      <c r="C17" s="14">
        <f>AVERAGEIF('FMEA_일반'!$B$5:$B$63,A17,'FMEA_일반'!$L$5:$L$63)</f>
        <v>244.8</v>
      </c>
      <c r="D17" s="9">
        <f>COUNTIFS('FMEA_일반'!$B$5:$B$63,A17,'FMEA_일반'!$M$5:$M$63,"높음")</f>
        <v>1</v>
      </c>
    </row>
    <row r="18">
      <c r="A18" s="6" t="inlineStr">
        <is>
          <t>8 소생 후 치료·이송</t>
        </is>
      </c>
      <c r="B18" s="9">
        <f>COUNTIF('FMEA_일반'!$B$5:$B$63,A18)</f>
        <v>6</v>
      </c>
      <c r="C18" s="14">
        <f>AVERAGEIF('FMEA_일반'!$B$5:$B$63,A18,'FMEA_일반'!$L$5:$L$63)</f>
        <v>272.0</v>
      </c>
      <c r="D18" s="9">
        <f>COUNTIFS('FMEA_일반'!$B$5:$B$63,A18,'FMEA_일반'!$M$5:$M$63,"높음")</f>
        <v>1</v>
      </c>
    </row>
    <row r="19">
      <c r="A19" s="6" t="inlineStr">
        <is>
          <t>9 교육·훈련·질 관리</t>
        </is>
      </c>
      <c r="B19" s="9">
        <f>COUNTIF('FMEA_일반'!$B$5:$B$63,A19)</f>
        <v>2</v>
      </c>
      <c r="C19" s="14">
        <f>AVERAGEIF('FMEA_일반'!$B$5:$B$63,A19,'FMEA_일반'!$L$5:$L$63)</f>
        <v>339.5</v>
      </c>
      <c r="D19" s="9">
        <f>COUNTIFS('FMEA_일반'!$B$5:$B$63,A19,'FMEA_일반'!$M$5:$M$63,"높음")</f>
        <v>2</v>
      </c>
    </row>
    <row r="21">
      <c r="A21" s="16" t="inlineStr">
        <is>
          <t>9.1 교육·자격 세부 단계별 평균 RPN</t>
        </is>
      </c>
    </row>
    <row r="22">
      <c r="A22" s="5" t="inlineStr">
        <is>
          <t>세부 단계</t>
        </is>
      </c>
      <c r="B22" s="5" t="inlineStr">
        <is>
          <t>항목 수</t>
        </is>
      </c>
      <c r="C22" s="5" t="inlineStr">
        <is>
          <t>평균 RPN</t>
        </is>
      </c>
    </row>
    <row r="23">
      <c r="A23" s="6" t="inlineStr">
        <is>
          <t>9.1.1 교육 대상 정의</t>
        </is>
      </c>
      <c r="B23" s="9">
        <f>COUNTIF('FMEA_교육자격'!$D$5:$D$21,A23)</f>
        <v>2</v>
      </c>
      <c r="C23" s="14">
        <f>AVERAGEIF('FMEA_교육자격'!$D$5:$D$21,A23,'FMEA_교육자격'!$L$5:$L$21)</f>
        <v>291.0</v>
      </c>
    </row>
    <row r="24">
      <c r="A24" s="6" t="inlineStr">
        <is>
          <t>9.1.2 자격 취득 관리</t>
        </is>
      </c>
      <c r="B24" s="9">
        <f>COUNTIF('FMEA_교육자격'!$D$5:$D$21,A24)</f>
        <v>2</v>
      </c>
      <c r="C24" s="14">
        <f>AVERAGEIF('FMEA_교육자격'!$D$5:$D$21,A24,'FMEA_교육자격'!$L$5:$L$21)</f>
        <v>240.0</v>
      </c>
    </row>
    <row r="25">
      <c r="A25" s="6" t="inlineStr">
        <is>
          <t>9.1.3 자격 갱신·만료 관리</t>
        </is>
      </c>
      <c r="B25" s="9">
        <f>COUNTIF('FMEA_교육자격'!$D$5:$D$21,A25)</f>
        <v>2</v>
      </c>
      <c r="C25" s="14">
        <f>AVERAGEIF('FMEA_교육자격'!$D$5:$D$21,A25,'FMEA_교육자격'!$L$5:$L$21)</f>
        <v>343.0</v>
      </c>
    </row>
    <row r="26">
      <c r="A26" s="6" t="inlineStr">
        <is>
          <t>9.1.4 교육과정·강사 질관리</t>
        </is>
      </c>
      <c r="B26" s="9">
        <f>COUNTIF('FMEA_교육자격'!$D$5:$D$21,A26)</f>
        <v>3</v>
      </c>
      <c r="C26" s="14">
        <f>AVERAGEIF('FMEA_교육자격'!$D$5:$D$21,A26,'FMEA_교육자격'!$L$5:$L$21)</f>
        <v>269.3333333333333</v>
      </c>
    </row>
    <row r="27">
      <c r="A27" s="6" t="inlineStr">
        <is>
          <t>9.1.5 직종별 역량 인증</t>
        </is>
      </c>
      <c r="B27" s="9">
        <f>COUNTIF('FMEA_교육자격'!$D$5:$D$21,A27)</f>
        <v>3</v>
      </c>
      <c r="C27" s="14">
        <f>AVERAGEIF('FMEA_교육자격'!$D$5:$D$21,A27,'FMEA_교육자격'!$L$5:$L$21)</f>
        <v>347.6666666666667</v>
      </c>
    </row>
    <row r="28">
      <c r="A28" s="6" t="inlineStr">
        <is>
          <t>9.1.6 소아·특수 환자 교육</t>
        </is>
      </c>
      <c r="B28" s="9">
        <f>COUNTIF('FMEA_교육자격'!$D$5:$D$21,A28)</f>
        <v>1</v>
      </c>
      <c r="C28" s="14">
        <f>AVERAGEIF('FMEA_교육자격'!$D$5:$D$21,A28,'FMEA_교육자격'!$L$5:$L$21)</f>
        <v>315.0</v>
      </c>
    </row>
    <row r="29">
      <c r="A29" s="6" t="inlineStr">
        <is>
          <t>9.1.7 교육 기록·전산 관리</t>
        </is>
      </c>
      <c r="B29" s="9">
        <f>COUNTIF('FMEA_교육자격'!$D$5:$D$21,A29)</f>
        <v>2</v>
      </c>
      <c r="C29" s="14">
        <f>AVERAGEIF('FMEA_교육자격'!$D$5:$D$21,A29,'FMEA_교육자격'!$L$5:$L$21)</f>
        <v>294.0</v>
      </c>
    </row>
    <row r="30">
      <c r="A30" s="6" t="inlineStr">
        <is>
          <t>9.1.8 팀 배치 시 자격 확인</t>
        </is>
      </c>
      <c r="B30" s="9">
        <f>COUNTIF('FMEA_교육자격'!$D$5:$D$21,A30)</f>
        <v>2</v>
      </c>
      <c r="C30" s="14">
        <f>AVERAGEIF('FMEA_교육자격'!$D$5:$D$21,A30,'FMEA_교육자격'!$L$5:$L$21)</f>
        <v>315.0</v>
      </c>
    </row>
    <row r="32">
      <c r="A32" s="16" t="inlineStr">
        <is>
          <t>9.2 모의훈련 세부 단계별 평균 RPN</t>
        </is>
      </c>
    </row>
    <row r="33">
      <c r="A33" s="5" t="inlineStr">
        <is>
          <t>세부 단계</t>
        </is>
      </c>
      <c r="B33" s="5" t="inlineStr">
        <is>
          <t>항목 수</t>
        </is>
      </c>
      <c r="C33" s="5" t="inlineStr">
        <is>
          <t>평균 RPN</t>
        </is>
      </c>
    </row>
    <row r="34">
      <c r="A34" s="6" t="inlineStr">
        <is>
          <t>9.2.1 훈련 계획 수립</t>
        </is>
      </c>
      <c r="B34" s="9">
        <f>COUNTIF('FMEA_모의훈련'!$D$5:$D$22,A34)</f>
        <v>2</v>
      </c>
      <c r="C34" s="14">
        <f>AVERAGEIF('FMEA_모의훈련'!$D$5:$D$22,A34,'FMEA_모의훈련'!$L$5:$L$22)</f>
        <v>294.0</v>
      </c>
    </row>
    <row r="35">
      <c r="A35" s="6" t="inlineStr">
        <is>
          <t>9.2.2 시나리오 설계</t>
        </is>
      </c>
      <c r="B35" s="9">
        <f>COUNTIF('FMEA_모의훈련'!$D$5:$D$22,A35)</f>
        <v>2</v>
      </c>
      <c r="C35" s="14">
        <f>AVERAGEIF('FMEA_모의훈련'!$D$5:$D$22,A35,'FMEA_모의훈련'!$L$5:$L$22)</f>
        <v>294.0</v>
      </c>
    </row>
    <row r="36">
      <c r="A36" s="6" t="inlineStr">
        <is>
          <t>9.2.3 훈련 시행</t>
        </is>
      </c>
      <c r="B36" s="9">
        <f>COUNTIF('FMEA_모의훈련'!$D$5:$D$22,A36)</f>
        <v>4</v>
      </c>
      <c r="C36" s="14">
        <f>AVERAGEIF('FMEA_모의훈련'!$D$5:$D$22,A36,'FMEA_모의훈련'!$L$5:$L$22)</f>
        <v>287.5</v>
      </c>
    </row>
    <row r="37">
      <c r="A37" s="6" t="inlineStr">
        <is>
          <t>9.2.4 참여 관리</t>
        </is>
      </c>
      <c r="B37" s="9">
        <f>COUNTIF('FMEA_모의훈련'!$D$5:$D$22,A37)</f>
        <v>2</v>
      </c>
      <c r="C37" s="14">
        <f>AVERAGEIF('FMEA_모의훈련'!$D$5:$D$22,A37,'FMEA_모의훈련'!$L$5:$L$22)</f>
        <v>315.0</v>
      </c>
    </row>
    <row r="38">
      <c r="A38" s="6" t="inlineStr">
        <is>
          <t>9.2.5 평가·측정</t>
        </is>
      </c>
      <c r="B38" s="9">
        <f>COUNTIF('FMEA_모의훈련'!$D$5:$D$22,A38)</f>
        <v>3</v>
      </c>
      <c r="C38" s="14">
        <f>AVERAGEIF('FMEA_모의훈련'!$D$5:$D$22,A38,'FMEA_모의훈련'!$L$5:$L$22)</f>
        <v>310.3333333333333</v>
      </c>
    </row>
    <row r="39">
      <c r="A39" s="6" t="inlineStr">
        <is>
          <t>9.2.6 훈련 후 디브리핑</t>
        </is>
      </c>
      <c r="B39" s="9">
        <f>COUNTIF('FMEA_모의훈련'!$D$5:$D$22,A39)</f>
        <v>1</v>
      </c>
      <c r="C39" s="14">
        <f>AVERAGEIF('FMEA_모의훈련'!$D$5:$D$22,A39,'FMEA_모의훈련'!$L$5:$L$22)</f>
        <v>343.0</v>
      </c>
    </row>
    <row r="40">
      <c r="A40" s="6" t="inlineStr">
        <is>
          <t>9.2.7 개선 조치 추적</t>
        </is>
      </c>
      <c r="B40" s="9">
        <f>COUNTIF('FMEA_모의훈련'!$D$5:$D$22,A40)</f>
        <v>2</v>
      </c>
      <c r="C40" s="14">
        <f>AVERAGEIF('FMEA_모의훈련'!$D$5:$D$22,A40,'FMEA_모의훈련'!$L$5:$L$22)</f>
        <v>343.0</v>
      </c>
    </row>
    <row r="41">
      <c r="A41" s="6" t="inlineStr">
        <is>
          <t>9.2.8 시스템 환경 점검</t>
        </is>
      </c>
      <c r="B41" s="9">
        <f>COUNTIF('FMEA_모의훈련'!$D$5:$D$22,A41)</f>
        <v>2</v>
      </c>
      <c r="C41" s="14">
        <f>AVERAGEIF('FMEA_모의훈련'!$D$5:$D$22,A41,'FMEA_모의훈련'!$L$5:$L$22)</f>
        <v>357.0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38" customWidth="1" min="3" max="3"/>
    <col width="40" customWidth="1" min="4" max="4"/>
  </cols>
  <sheetData>
    <row r="1">
      <c r="A1" s="4" t="inlineStr">
        <is>
          <t>평가 척도 및 우선순위 기준</t>
        </is>
      </c>
    </row>
    <row r="3">
      <c r="A3" s="17" t="inlineStr">
        <is>
          <t>점수</t>
        </is>
      </c>
      <c r="B3" s="17" t="inlineStr">
        <is>
          <t>심각도(S) – 환자 영향</t>
        </is>
      </c>
      <c r="C3" s="17" t="inlineStr">
        <is>
          <t>발생도(O) – 발생 가능성</t>
        </is>
      </c>
      <c r="D3" s="17" t="inlineStr">
        <is>
          <t>검출도(D) – 사전 검출 가능성</t>
        </is>
      </c>
    </row>
    <row r="4">
      <c r="A4" s="18" t="n">
        <v>10</v>
      </c>
      <c r="B4" s="18" t="inlineStr">
        <is>
          <t>사망·영구적 중증 손상, 소생 기회 상실</t>
        </is>
      </c>
      <c r="C4" s="18" t="inlineStr">
        <is>
          <t>거의 매번(주 1회 이상) 또는 통제 없음</t>
        </is>
      </c>
      <c r="D4" s="18" t="inlineStr">
        <is>
          <t>검출 수단 전혀 없음</t>
        </is>
      </c>
    </row>
    <row r="5">
      <c r="A5" s="18" t="n">
        <v>9</v>
      </c>
      <c r="B5" s="18" t="inlineStr">
        <is>
          <t>중증 영구 손상 위험 / 법적·규제 중대 위반</t>
        </is>
      </c>
      <c r="C5" s="18" t="inlineStr">
        <is>
          <t>매우 빈번(월 수회)</t>
        </is>
      </c>
      <c r="D5" s="18" t="inlineStr">
        <is>
          <t>검출 거의 불가능(사후에만 확인)</t>
        </is>
      </c>
    </row>
    <row r="6">
      <c r="A6" s="18" t="n">
        <v>8</v>
      </c>
      <c r="B6" s="18" t="inlineStr">
        <is>
          <t>소생 성공률(ROSC·생존퇴원) 유의하게 저하</t>
        </is>
      </c>
      <c r="C6" s="18" t="inlineStr">
        <is>
          <t>빈번(월 1회)</t>
        </is>
      </c>
      <c r="D6" s="18" t="inlineStr">
        <is>
          <t>검출 가능성 매우 낮음</t>
        </is>
      </c>
    </row>
    <row r="7">
      <c r="A7" s="18" t="n">
        <v>7</v>
      </c>
      <c r="B7" s="18" t="inlineStr">
        <is>
          <t>소생 지연·품질 저하로 신경학적 예후 악화 가능</t>
        </is>
      </c>
      <c r="C7" s="18" t="inlineStr">
        <is>
          <t>상당히 빈번(분기 1~2회)</t>
        </is>
      </c>
      <c r="D7" s="18" t="inlineStr">
        <is>
          <t>검출 가능성 낮음</t>
        </is>
      </c>
    </row>
    <row r="8">
      <c r="A8" s="18" t="n">
        <v>6</v>
      </c>
      <c r="B8" s="18" t="inlineStr">
        <is>
          <t>치료 지연 있으나 회복 가능</t>
        </is>
      </c>
      <c r="C8" s="18" t="inlineStr">
        <is>
          <t>가끔(분기 1회)</t>
        </is>
      </c>
      <c r="D8" s="18" t="inlineStr">
        <is>
          <t>정기 감사로만 검출</t>
        </is>
      </c>
    </row>
    <row r="9">
      <c r="A9" s="18" t="n">
        <v>5</v>
      </c>
      <c r="B9" s="18" t="inlineStr">
        <is>
          <t>경미~중등도 지연, 추가 처치 필요</t>
        </is>
      </c>
      <c r="C9" s="18" t="inlineStr">
        <is>
          <t>드묾(반기 1회)</t>
        </is>
      </c>
      <c r="D9" s="18" t="inlineStr">
        <is>
          <t>샘플링 감사로 검출</t>
        </is>
      </c>
    </row>
    <row r="10">
      <c r="A10" s="18" t="n">
        <v>4</v>
      </c>
      <c r="B10" s="18" t="inlineStr">
        <is>
          <t>경미한 지연, 환자 영향 미미</t>
        </is>
      </c>
      <c r="C10" s="18" t="inlineStr">
        <is>
          <t>매우 드묾(연 1회)</t>
        </is>
      </c>
      <c r="D10" s="18" t="inlineStr">
        <is>
          <t>체크리스트·정기 점검으로 검출</t>
        </is>
      </c>
    </row>
    <row r="11">
      <c r="A11" s="18" t="n">
        <v>3</v>
      </c>
      <c r="B11" s="18" t="inlineStr">
        <is>
          <t>영향 거의 없음</t>
        </is>
      </c>
      <c r="C11" s="18" t="inlineStr">
        <is>
          <t>연 1회 미만</t>
        </is>
      </c>
      <c r="D11" s="18" t="inlineStr">
        <is>
          <t>상시 점검·전산 경고로 대부분 검출</t>
        </is>
      </c>
    </row>
    <row r="12">
      <c r="A12" s="18" t="n">
        <v>2</v>
      </c>
      <c r="B12" s="18" t="inlineStr">
        <is>
          <t>무시 가능</t>
        </is>
      </c>
      <c r="C12" s="18" t="inlineStr">
        <is>
          <t>거의 발생 안 함</t>
        </is>
      </c>
      <c r="D12" s="18" t="inlineStr">
        <is>
          <t>자동 차단·경고로 거의 확실히 검출</t>
        </is>
      </c>
    </row>
    <row r="13">
      <c r="A13" s="18" t="n">
        <v>1</v>
      </c>
      <c r="B13" s="18" t="inlineStr">
        <is>
          <t>영향 없음</t>
        </is>
      </c>
      <c r="C13" s="18" t="inlineStr">
        <is>
          <t>발생 가능성 극히 낮음</t>
        </is>
      </c>
      <c r="D13" s="18" t="inlineStr">
        <is>
          <t>오류 방지(Poka-yoke)로 발생 자체 차단</t>
        </is>
      </c>
    </row>
    <row r="16">
      <c r="A16" s="16" t="inlineStr">
        <is>
          <t>우선순위 임계값 (수정 가능)</t>
        </is>
      </c>
    </row>
    <row r="17">
      <c r="A17" s="19" t="inlineStr">
        <is>
          <t>RPN 높음 기준 (≥)</t>
        </is>
      </c>
      <c r="B17" s="20" t="n">
        <v>300</v>
      </c>
    </row>
    <row r="18">
      <c r="A18" s="19" t="inlineStr">
        <is>
          <t>RPN 중간 기준 (≥)</t>
        </is>
      </c>
      <c r="B18" s="20" t="n">
        <v>200</v>
      </c>
    </row>
    <row r="19">
      <c r="A19" s="19" t="inlineStr">
        <is>
          <t>심각도 상향 기준 (S ≥, RPN 중간 이상일 때)</t>
        </is>
      </c>
      <c r="B19" s="20" t="n">
        <v>10</v>
      </c>
    </row>
    <row r="20">
      <c r="A20" s="8" t="inlineStr">
        <is>
          <t>※ 위 임계값과 점수 구간은 일반적 FMEA 관행을 참고한 초안이며, 병원 환자안전위원회 합의로 조정하십시오. RPN = S × O × D, S가 즉시조치 기준 이상이면서 RPN이 '중간' 기준 이상이면 '높음'으로 상향.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2026-10-03T21:31:01Z</dcterms:created>
  <dcterms:modified xsi:type="dcterms:W3CDTF">2026-10-03T21:31:02Z</dcterms:modified>
</cp:coreProperties>
</file>